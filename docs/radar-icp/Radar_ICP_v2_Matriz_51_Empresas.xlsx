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8bb19ffb8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1de6e48f79cf4019"/>
    <x:sheet xmlns:r="http://schemas.openxmlformats.org/officeDocument/2006/relationships" name="Base 51 | Triagem" sheetId="2" r:id="R217d5707ff6047b1"/>
    <x:sheet xmlns:r="http://schemas.openxmlformats.org/officeDocument/2006/relationships" name="Testes WhatsApp" sheetId="3" r:id="R121d4fb9e926478e"/>
    <x:sheet xmlns:r="http://schemas.openxmlformats.org/officeDocument/2006/relationships" name="Motor de Score" sheetId="4" r:id="R9bc46a8dcddd41f6"/>
    <x:sheet xmlns:r="http://schemas.openxmlformats.org/officeDocument/2006/relationships" name="Nichos e Buscas" sheetId="5" r:id="R115f4eb14e954be3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sz val="10"/>
      <x:color rgb="FF17262A"/>
      <x:name val="Carlito"/>
    </x:font>
    <x:font>
      <x:b/>
      <x:sz val="11"/>
      <x:color rgb="FF17262A"/>
      <x:name val="Carlito"/>
    </x:font>
    <x:font>
      <x:b/>
      <x:sz val="11"/>
      <x:name val="Carlito"/>
    </x:font>
    <x:font>
      <x:sz val="11"/>
      <x:color rgb="FF1726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62A"/>
      </x:patternFill>
    </x:fill>
    <x:fill>
      <x:patternFill patternType="solid">
        <x:fgColor rgb="FFE8F6F3"/>
      </x:patternFill>
    </x:fill>
    <x:fill>
      <x:patternFill patternType="solid">
        <x:fgColor rgb="FFF4F7F8"/>
      </x:patternFill>
    </x:fill>
    <x:fill>
      <x:patternFill patternType="solid">
        <x:fgColor rgb="FFFFF3DC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17794772b4b89" /><Relationship Type="http://schemas.openxmlformats.org/officeDocument/2006/relationships/theme" Target="/xl/theme/theme1.xml" Id="R234d20ff8a9543d1" /><Relationship Type="http://schemas.openxmlformats.org/officeDocument/2006/relationships/sharedStrings" Target="/xl/sharedStrings.xml" Id="R2b41d2c53c3d493a" /><Relationship Type="http://schemas.openxmlformats.org/officeDocument/2006/relationships/worksheet" Target="/xl/worksheets/sheet1.xml" Id="R1de6e48f79cf4019" /><Relationship Type="http://schemas.openxmlformats.org/officeDocument/2006/relationships/worksheet" Target="/xl/worksheets/sheet2.xml" Id="R217d5707ff6047b1" /><Relationship Type="http://schemas.openxmlformats.org/officeDocument/2006/relationships/worksheet" Target="/xl/worksheets/sheet3.xml" Id="R121d4fb9e926478e" /><Relationship Type="http://schemas.openxmlformats.org/officeDocument/2006/relationships/worksheet" Target="/xl/worksheets/sheet4.xml" Id="R9bc46a8dcddd41f6" /><Relationship Type="http://schemas.openxmlformats.org/officeDocument/2006/relationships/worksheet" Target="/xl/worksheets/sheet5.xml" Id="R115f4eb14e954b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35" hidden="0" customWidth="1"/>
    <x:col min="4" max="4" width="55" hidden="0" customWidth="1"/>
    <x:col min="5" max="5" width="24" hidden="0" customWidth="1"/>
    <x:col min="6" max="6" width="16" hidden="0" customWidth="1"/>
    <x:col min="7" max="7" width="16" hidden="0" customWidth="1"/>
    <x:col min="8" max="8" width="17" hidden="0" customWidth="1"/>
  </x:cols>
  <x:sheetData>
    <x:row r="1" ht="44" customHeight="1">
      <x:c r="A1" s="16" t="str">
        <x:v>RADAR ICP  |  MOTOR DE DEMANDA COMERCIAL</x:v>
      </x:c>
      <x:c r="B1" s="16"/>
      <x:c r="C1" s="16"/>
      <x:c r="D1" s="16"/>
      <x:c r="E1" s="16"/>
      <x:c r="F1" s="16"/>
      <x:c r="G1" s="16"/>
      <x:c r="H1" s="16"/>
    </x:row>
    <x:row r="3" ht="28" customHeight="1">
      <x:c r="A3" s="34" t="str">
        <x:v>Pré-filtro de pesquisa ≠ ICP confirmado  |  19 OUT 2026  |  Base fornecida pelo usuário</x:v>
      </x:c>
      <x:c r="B3" s="34"/>
      <x:c r="C3" s="34"/>
      <x:c r="D3" s="34"/>
      <x:c r="E3" s="34"/>
      <x:c r="F3" s="34"/>
      <x:c r="G3" s="34"/>
      <x:c r="H3" s="34"/>
    </x:row>
    <x:row r="5" ht="30" customHeight="1">
      <x:c r="A5" s="36" t="str">
        <x:v>Registros na base original</x:v>
      </x:c>
      <x:c r="B5" s="36" t="n">
        <x:f>COUNTA('Base 51 | Triagem'!A2:A52)</x:f>
        <x:v>51</x:v>
      </x:c>
      <x:c r="C5" s="36" t="str">
        <x:v>Testes/observações informados</x:v>
      </x:c>
      <x:c r="D5" s="36" t="n">
        <x:f>COUNTA('Testes WhatsApp'!A2:A14)</x:f>
        <x:v>13</x:v>
      </x:c>
    </x:row>
    <x:row r="7" ht="31" customHeight="1">
      <x:c r="A7" s="5" t="str">
        <x:v>PRIMEIRA ONDA — VALIDAR DEMANDA DE CONVERSA E CAPACIDADE, NÃO FECHAR POR TAMANHO</x:v>
      </x:c>
      <x:c r="B7" s="5"/>
      <x:c r="C7" s="5"/>
      <x:c r="D7" s="5"/>
      <x:c r="E7" s="5"/>
      <x:c r="F7" s="5"/>
      <x:c r="G7" s="5"/>
      <x:c r="H7" s="5"/>
    </x:row>
    <x:row r="8" ht="32" customHeight="1">
      <x:c r="A8" s="10" t="str">
        <x:v>Pizzaria Nice Delivery</x:v>
      </x:c>
      <x:c r="B8" s="10" t="str">
        <x:v>Pedido direto</x:v>
      </x:c>
      <x:c r="C8" s="10" t="str">
        <x:v>WhatsApp e delivery públicos</x:v>
      </x:c>
      <x:c r="D8" s="10" t="str">
        <x:v>% pedidos WhatsApp e volume por noite</x:v>
      </x:c>
      <x:c r="E8" s="10" t="str">
        <x:v>1ª onda</x:v>
      </x:c>
    </x:row>
    <x:row r="9" ht="32" customHeight="1">
      <x:c r="A9" s="10" t="str">
        <x:v>Marcelu's / Pizzaria Marcelus</x:v>
      </x:c>
      <x:c r="B9" s="10" t="str">
        <x:v>Delivery multicanal</x:v>
      </x:c>
      <x:c r="C9" s="10" t="str">
        <x:v>Site, aplicativo e delivery</x:v>
      </x:c>
      <x:c r="D9" s="10" t="str">
        <x:v>% pedidos WA vs app; etapas manuais</x:v>
      </x:c>
      <x:c r="E9" s="10" t="str">
        <x:v>1ª onda</x:v>
      </x:c>
    </x:row>
    <x:row r="10" ht="32" customHeight="1">
      <x:c r="A10" s="10" t="str">
        <x:v>Top Dog Lanches</x:v>
      </x:c>
      <x:c r="B10" s="10" t="str">
        <x:v>Delivery de lanches</x:v>
      </x:c>
      <x:c r="C10" s="10" t="str">
        <x:v>Delivery/retirada registrados</x:v>
      </x:c>
      <x:c r="D10" s="10" t="str">
        <x:v>Pedidos por WhatsApp/noite e margem</x:v>
      </x:c>
      <x:c r="E10" s="10" t="str">
        <x:v>1ª onda</x:v>
      </x:c>
    </x:row>
    <x:row r="11" ht="32" customHeight="1">
      <x:c r="A11" s="10" t="str">
        <x:v>Burger Perk</x:v>
      </x:c>
      <x:c r="B11" s="10" t="str">
        <x:v>Hamburgueria híbrida</x:v>
      </x:c>
      <x:c r="C11" s="10" t="str">
        <x:v>iFood e presença de delivery</x:v>
      </x:c>
      <x:c r="D11" s="10" t="str">
        <x:v>Confirmação do CNPJ e origem dos pedidos</x:v>
      </x:c>
      <x:c r="E11" s="10" t="str">
        <x:v>1ª onda</x:v>
      </x:c>
    </x:row>
    <x:row r="12" ht="32" customHeight="1">
      <x:c r="A12" s="10" t="str">
        <x:v>Street Burger Smash House</x:v>
      </x:c>
      <x:c r="B12" s="10" t="str">
        <x:v>Hamburgueria híbrida</x:v>
      </x:c>
      <x:c r="C12" s="10" t="str">
        <x:v>Perfil delivery encontrado</x:v>
      </x:c>
      <x:c r="D12" s="10" t="str">
        <x:v>Confirmar divergência do endereço e % WA</x:v>
      </x:c>
      <x:c r="E12" s="10" t="str">
        <x:v>1ª onda</x:v>
      </x:c>
    </x:row>
    <x:row r="13" ht="32" customHeight="1">
      <x:c r="A13" s="10" t="str">
        <x:v>Frango na Brasa</x:v>
      </x:c>
      <x:c r="B13" s="10" t="str">
        <x:v>Refeições para casa</x:v>
      </x:c>
      <x:c r="C13" s="10" t="str">
        <x:v>CNAE 5620104</x:v>
      </x:c>
      <x:c r="D13" s="10" t="str">
        <x:v>Pedidos por canal; atendimento de pico</x:v>
      </x:c>
      <x:c r="E13" s="10" t="str">
        <x:v>1ª onda</x:v>
      </x:c>
    </x:row>
    <x:row r="14" ht="32" customHeight="1">
      <x:c r="A14" s="10" t="str">
        <x:v>Pizza Prime Maringá</x:v>
      </x:c>
      <x:c r="B14" s="10" t="str">
        <x:v>Delivery com IA</x:v>
      </x:c>
      <x:c r="C14" s="10" t="str">
        <x:v>Bot+humano (relato usuário)</x:v>
      </x:c>
      <x:c r="D14" s="10" t="str">
        <x:v>Lacunas IA + autonomia franquia</x:v>
      </x:c>
      <x:c r="E14" s="10" t="str">
        <x:v>2ª onda</x:v>
      </x:c>
    </x:row>
    <x:row r="15" ht="32" customHeight="1">
      <x:c r="A15" s="10" t="str">
        <x:v>Pizzeria da Praça</x:v>
      </x:c>
      <x:c r="B15" s="10" t="str">
        <x:v>Pizzaria sem IA</x:v>
      </x:c>
      <x:c r="C15" s="10" t="str">
        <x:v>Atendimento sem IA (relato)</x:v>
      </x:c>
      <x:c r="D15" s="10" t="str">
        <x:v>Pedidos por canal; ticket e margem</x:v>
      </x:c>
      <x:c r="E15" s="10" t="str">
        <x:v>2ª onda</x:v>
      </x:c>
    </x:row>
    <x:row r="16" ht="32" customHeight="1">
      <x:c r="A16" s="10" t="str">
        <x:v>Grupo Habanero</x:v>
      </x:c>
      <x:c r="B16" s="10" t="str">
        <x:v>Multunidade/restaurante</x:v>
      </x:c>
      <x:c r="C16" s="10" t="str">
        <x:v>Várias filiais cadastrais</x:v>
      </x:c>
      <x:c r="D16" s="10" t="str">
        <x:v>Reservas e eventos: gargalo real?</x:v>
      </x:c>
      <x:c r="E16" s="10" t="str">
        <x:v>Oferta alternativa</x:v>
      </x:c>
    </x:row>
    <x:row r="17" ht="32" customHeight="1">
      <x:c r="A17" s="10" t="str">
        <x:v>Black Bull Steakhouse</x:v>
      </x:c>
      <x:c r="B17" s="10" t="str">
        <x:v>Salão/experiência</x:v>
      </x:c>
      <x:c r="C17" s="10" t="str">
        <x:v>Hipótese de baixo uso comercial WA</x:v>
      </x:c>
      <x:c r="D17" s="10" t="str">
        <x:v>Reservas/eventos WhatsApp ou dispensar</x:v>
      </x:c>
      <x:c r="E17" s="10" t="str">
        <x:v>Despriorizar até prova</x:v>
      </x:c>
    </x:row>
    <x:row r="19" ht="40" customHeight="1">
      <x:c r="A19" s="26" t="str">
        <x:v>NÃO REPLICAR: 'demorou 30 min' → 'não tem IA'. Fora de expediente, sistemas de pedidos e caminhos do bot distorcem o teste.</x:v>
      </x:c>
      <x:c r="B19" s="26"/>
      <x:c r="C19" s="26"/>
      <x:c r="D19" s="26"/>
      <x:c r="E19" s="26"/>
      <x:c r="F19" s="26"/>
      <x:c r="G19" s="26"/>
      <x:c r="H19" s="26"/>
    </x:row>
    <x:row r="21" ht="44" customHeight="1">
      <x:c r="A21" s="38" t="str">
        <x:v>REFERÊNCIA VALIDADA: Pizza do Gordo R$ 3.000 + R$ 350/mês. Dr. Lucas: 596 pacientes em setembro; 366 em outubro até o relato. Volumes diferentes, mesmo princípio: tarefa recorrente.</x:v>
      </x:c>
      <x:c r="B21" s="38"/>
      <x:c r="C21" s="38"/>
      <x:c r="D21" s="38"/>
      <x:c r="E21" s="38"/>
      <x:c r="F21" s="38"/>
      <x:c r="G21" s="38"/>
      <x:c r="H21" s="38"/>
    </x:row>
    <x:row r="23" ht="44" customHeight="1">
      <x:c r="A23" s="40" t="str">
        <x:v>SEQUÊNCIA: filtrar modelo → verificar canais → testar fluxo no horário correto → perguntar volume → qualificar impacto → qualificar verba e decisor → ofertar.</x:v>
      </x:c>
      <x:c r="B23" s="40"/>
      <x:c r="C23" s="40"/>
      <x:c r="D23" s="40"/>
      <x:c r="E23" s="40"/>
      <x:c r="F23" s="40"/>
      <x:c r="G23" s="40"/>
      <x:c r="H23" s="40"/>
    </x:row>
  </x:sheetData>
  <x:mergeCells>
    <x:mergeCell ref="A1:H1"/>
    <x:mergeCell ref="A3:H3"/>
    <x:mergeCell ref="A7:H7"/>
    <x:mergeCell ref="A19:H19"/>
    <x:mergeCell ref="A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31" hidden="0" customWidth="1"/>
    <x:col min="3" max="3" width="19" hidden="0" customWidth="1"/>
    <x:col min="4" max="4" width="11" hidden="0" customWidth="1"/>
    <x:col min="5" max="5" width="12" hidden="0" customWidth="1"/>
    <x:col min="6" max="6" width="23" hidden="0" customWidth="1"/>
    <x:col min="7" max="7" width="36" hidden="0" customWidth="1"/>
    <x:col min="8" max="8" width="50" hidden="0" customWidth="1"/>
    <x:col min="9" max="9" width="23" hidden="0" customWidth="1"/>
    <x:col min="10" max="10" width="47" hidden="0" customWidth="1"/>
    <x:col min="11" max="11" width="53" hidden="0" customWidth="1"/>
    <x:col min="12" max="12" width="17" hidden="0" customWidth="1"/>
    <x:col min="13" max="13" width="17" hidden="0" customWidth="1"/>
    <x:col min="14" max="14" width="16" hidden="0" customWidth="1"/>
    <x:col min="15" max="15" width="17" hidden="0" customWidth="1"/>
    <x:col min="16" max="16" width="16" hidden="0" customWidth="1"/>
    <x:col min="17" max="17" width="17" hidden="0" customWidth="1"/>
    <x:col min="18" max="18" width="16" hidden="0" customWidth="1"/>
    <x:col min="19" max="19" width="18" hidden="0" customWidth="1"/>
    <x:col min="20" max="20" width="24" hidden="0" customWidth="1"/>
    <x:col min="21" max="21" width="40" hidden="0" customWidth="1"/>
    <x:col min="22" max="22" width="19" hidden="0" customWidth="1"/>
    <x:col min="23" max="23" width="37" hidden="0" customWidth="1"/>
  </x:cols>
  <x:sheetData>
    <x:row r="1" ht="31" customHeight="1">
      <x:c r="A1" s="5" t="str">
        <x:v>CNPJ</x:v>
      </x:c>
      <x:c r="B1" s="5" t="str">
        <x:v>Empresa</x:v>
      </x:c>
      <x:c r="C1" s="5" t="str">
        <x:v>Cidade</x:v>
      </x:c>
      <x:c r="D1" s="5" t="str">
        <x:v>Porte</x:v>
      </x:c>
      <x:c r="E1" s="5" t="str">
        <x:v>Filiais (cadastro)</x:v>
      </x:c>
      <x:c r="F1" s="5" t="str">
        <x:v>Fat. estimado | origem</x:v>
      </x:c>
      <x:c r="G1" s="5" t="str">
        <x:v>Modelo provável</x:v>
      </x:c>
      <x:c r="H1" s="5" t="str">
        <x:v>Sinal / evidência</x:v>
      </x:c>
      <x:c r="I1" s="5" t="str">
        <x:v>Prioridade inicial</x:v>
      </x:c>
      <x:c r="J1" s="5" t="str">
        <x:v>Pergunta para qualificar</x:v>
      </x:c>
      <x:c r="K1" s="5" t="str">
        <x:v>Fonte pública</x:v>
      </x:c>
      <x:c r="L1" s="5" t="str">
        <x:v>WhatsApp (0–5)</x:v>
      </x:c>
      <x:c r="M1" s="5" t="str">
        <x:v>Volume (0–5)</x:v>
      </x:c>
      <x:c r="N1" s="5" t="str">
        <x:v>Dor (0–5)</x:v>
      </x:c>
      <x:c r="O1" s="5" t="str">
        <x:v>Economia (0–5)</x:v>
      </x:c>
      <x:c r="P1" s="5" t="str">
        <x:v>Decisor (0–5)</x:v>
      </x:c>
      <x:c r="Q1" s="5" t="str">
        <x:v>Execução (0–5)</x:v>
      </x:c>
      <x:c r="R1" s="5" t="str">
        <x:v>Cobertura %</x:v>
      </x:c>
      <x:c r="S1" s="5" t="str">
        <x:v>Score (0–100)</x:v>
      </x:c>
      <x:c r="T1" s="5" t="str">
        <x:v>Classificação ICP</x:v>
      </x:c>
      <x:c r="U1" s="5" t="str">
        <x:v>Teste / observação</x:v>
      </x:c>
      <x:c r="V1" s="5" t="str">
        <x:v>Status comercial</x:v>
      </x:c>
      <x:c r="W1" s="5" t="str">
        <x:v>Risco de identidade</x:v>
      </x:c>
    </x:row>
    <x:row r="2" ht="32" customHeight="1">
      <x:c r="A2" t="str">
        <x:v>10.517.806/0001-05</x:v>
      </x:c>
      <x:c r="B2" t="str">
        <x:v>FRANGO NA BRASA</x:v>
      </x:c>
      <x:c r="C2" t="str">
        <x:v>Maringa</x:v>
      </x:c>
      <x:c r="D2" t="str">
        <x:v>ME</x:v>
      </x:c>
      <x:c r="E2" t="n">
        <x:v>0</x:v>
      </x:c>
      <x:c r="F2" s="10" t="str">
        <x:v>DE R$ 100 MIL ATÉ R$ 250 MIL</x:v>
      </x:c>
      <x:c r="G2" s="10" t="str">
        <x:v>Pedidos | refeições prontas</x:v>
      </x:c>
      <x:c r="H2" s="10" t="str">
        <x:v>CNAE informa fornecimento de alimentos para consumo domiciliar.</x:v>
      </x:c>
      <x:c r="I2" s="10" t="str">
        <x:v>P1 | pesquisa</x:v>
      </x:c>
      <x:c r="J2" s="10" t="str">
        <x:v>Quantos pedidos começam no WhatsApp/dia, e quantos são concluídos?</x:v>
      </x:c>
      <x:c r="K2" s="10" t="str"/>
      <x:c r="L2" s="12"/>
      <x:c r="M2" s="12"/>
      <x:c r="N2" s="12"/>
      <x:c r="O2" s="12"/>
      <x:c r="P2" s="12"/>
      <x:c r="Q2" s="12"/>
      <x:c r="R2" s="14" t="n">
        <x:f>ROUND(COUNT(L2:Q2)/6*100,0)</x:f>
        <x:v>0</x:v>
      </x:c>
      <x:c r="S2" s="14" t="str">
        <x:f>IF(COUNT(L2:Q2)&lt;6,"A validar",ROUND(SUMPRODUCT(L2:Q2,'Motor de Score'!$B$7:$G$7)/5,0))</x:f>
        <x:v>A validar</x:v>
      </x:c>
      <x:c r="T2" s="14" t="str">
        <x:f>IF(COUNT(L2:Q2)&lt;6,"Não qualificado",IF(S2&gt;=75,"Fit alto",IF(S2&gt;=55,"Fit médio","Fit baixo")))</x:f>
        <x:v>Não qualificado</x:v>
      </x:c>
      <x:c r="U2" t="str"/>
      <x:c r="V2" t="str">
        <x:v>Não iniciado</x:v>
      </x:c>
      <x:c r="W2" t="str"/>
    </x:row>
    <x:row r="3" ht="32" customHeight="1">
      <x:c r="A3" t="str">
        <x:v>22.378.147/0001-52</x:v>
      </x:c>
      <x:c r="B3" t="str">
        <x:v>GRUPO HABANERO</x:v>
      </x:c>
      <x:c r="C3" t="str">
        <x:v>Maringa</x:v>
      </x:c>
      <x:c r="D3" t="str">
        <x:v>DEMAIS</x:v>
      </x:c>
      <x:c r="E3" t="n">
        <x:v>5</x:v>
      </x:c>
      <x:c r="F3" s="10" t="str">
        <x:v>DE R$ 250 MIL ATÉ R$ 500 MIL</x:v>
      </x:c>
      <x:c r="G3" s="10" t="str">
        <x:v>Presencial/híbrido | multissede</x:v>
      </x:c>
      <x:c r="H3" s="10" t="str">
        <x:v>Várias unidades; investigar reservas e eventos, não presumir chat de pedidos.</x:v>
      </x:c>
      <x:c r="I3" s="10" t="str">
        <x:v>P2 | outra oferta</x:v>
      </x:c>
      <x:c r="J3" s="10" t="str">
        <x:v>Quantas reservas, eventos ou orçamentos iniciam pelo WhatsApp/mês?</x:v>
      </x:c>
      <x:c r="K3" s="10" t="str">
        <x:v>https://www.econodata.com.br/consulta-empresa/22378147000152-habanero-group-ltda</x:v>
      </x:c>
      <x:c r="L3" s="12"/>
      <x:c r="M3" s="12"/>
      <x:c r="N3" s="12"/>
      <x:c r="O3" s="12"/>
      <x:c r="P3" s="12"/>
      <x:c r="Q3" s="12"/>
      <x:c r="R3" s="14" t="n">
        <x:f>ROUND(COUNT(L3:Q3)/6*100,0)</x:f>
        <x:v>0</x:v>
      </x:c>
      <x:c r="S3" s="14" t="str">
        <x:f>IF(COUNT(L3:Q3)&lt;6,"A validar",ROUND(SUMPRODUCT(L3:Q3,'Motor de Score'!$B$7:$G$7)/5,0))</x:f>
        <x:v>A validar</x:v>
      </x:c>
      <x:c r="T3" s="14" t="str">
        <x:f>IF(COUNT(L3:Q3)&lt;6,"Não qualificado",IF(S3&gt;=75,"Fit alto",IF(S3&gt;=55,"Fit médio","Fit baixo")))</x:f>
        <x:v>Não qualificado</x:v>
      </x:c>
      <x:c r="U3" t="str"/>
      <x:c r="V3" t="str">
        <x:v>Não iniciado</x:v>
      </x:c>
      <x:c r="W3" t="str"/>
    </x:row>
    <x:row r="4" ht="32" customHeight="1">
      <x:c r="A4" t="str">
        <x:v>23.162.660/0001-74</x:v>
      </x:c>
      <x:c r="B4" t="str">
        <x:v>PIMENTA BIQUINHO</x:v>
      </x:c>
      <x:c r="C4" t="str">
        <x:v>Maringa</x:v>
      </x:c>
      <x:c r="D4" t="str">
        <x:v>ME</x:v>
      </x:c>
      <x:c r="E4" t="n">
        <x:v>0</x:v>
      </x:c>
      <x:c r="F4" s="10" t="str">
        <x:v>DE R$ 100 MIL ATÉ R$ 250 MIL</x:v>
      </x:c>
      <x:c r="G4" s="10" t="str">
        <x:v>Indefinido | atendimento</x:v>
      </x:c>
      <x:c r="H4" s="10" t="str">
        <x:v>Não inferir demanda no WhatsApp apenas pelo CNAE.</x:v>
      </x:c>
      <x:c r="I4" s="10" t="str">
        <x:v>P3 | avaliar</x:v>
      </x:c>
      <x:c r="J4" s="10" t="str">
        <x:v>Quantos pedidos começam no WhatsApp/dia, e quantos são concluídos?</x:v>
      </x:c>
      <x:c r="K4" s="10" t="str"/>
      <x:c r="L4" s="12"/>
      <x:c r="M4" s="12"/>
      <x:c r="N4" s="12"/>
      <x:c r="O4" s="12"/>
      <x:c r="P4" s="12"/>
      <x:c r="Q4" s="12"/>
      <x:c r="R4" s="14" t="n">
        <x:f>ROUND(COUNT(L4:Q4)/6*100,0)</x:f>
        <x:v>0</x:v>
      </x:c>
      <x:c r="S4" s="14" t="str">
        <x:f>IF(COUNT(L4:Q4)&lt;6,"A validar",ROUND(SUMPRODUCT(L4:Q4,'Motor de Score'!$B$7:$G$7)/5,0))</x:f>
        <x:v>A validar</x:v>
      </x:c>
      <x:c r="T4" s="14" t="str">
        <x:f>IF(COUNT(L4:Q4)&lt;6,"Não qualificado",IF(S4&gt;=75,"Fit alto",IF(S4&gt;=55,"Fit médio","Fit baixo")))</x:f>
        <x:v>Não qualificado</x:v>
      </x:c>
      <x:c r="U4" t="str"/>
      <x:c r="V4" t="str">
        <x:v>Não iniciado</x:v>
      </x:c>
      <x:c r="W4" t="str"/>
    </x:row>
    <x:row r="5" ht="32" customHeight="1">
      <x:c r="A5" t="str">
        <x:v>23.351.580/0001-67</x:v>
      </x:c>
      <x:c r="B5" t="str">
        <x:v>GIROLETO E FILHO RESTAURANTE</x:v>
      </x:c>
      <x:c r="C5" t="str">
        <x:v>Maringa</x:v>
      </x:c>
      <x:c r="D5" t="str">
        <x:v>ME</x:v>
      </x:c>
      <x:c r="E5" t="n">
        <x:v>0</x:v>
      </x:c>
      <x:c r="F5" s="10" t="str">
        <x:v>DE R$ 500 MIL ATÉ R$ 1 MM</x:v>
      </x:c>
      <x:c r="G5" s="10" t="str">
        <x:v>Indefinido | atendimento</x:v>
      </x:c>
      <x:c r="H5" s="10" t="str">
        <x:v>Não inferir demanda no WhatsApp apenas pelo CNAE.</x:v>
      </x:c>
      <x:c r="I5" s="10" t="str">
        <x:v>P3 | avaliar</x:v>
      </x:c>
      <x:c r="J5" s="10" t="str">
        <x:v>Quantos pedidos começam no WhatsApp/dia, e quantos são concluídos?</x:v>
      </x:c>
      <x:c r="K5" s="10" t="str"/>
      <x:c r="L5" s="12"/>
      <x:c r="M5" s="12"/>
      <x:c r="N5" s="12"/>
      <x:c r="O5" s="12"/>
      <x:c r="P5" s="12"/>
      <x:c r="Q5" s="12"/>
      <x:c r="R5" s="14" t="n">
        <x:f>ROUND(COUNT(L5:Q5)/6*100,0)</x:f>
        <x:v>0</x:v>
      </x:c>
      <x:c r="S5" s="14" t="str">
        <x:f>IF(COUNT(L5:Q5)&lt;6,"A validar",ROUND(SUMPRODUCT(L5:Q5,'Motor de Score'!$B$7:$G$7)/5,0))</x:f>
        <x:v>A validar</x:v>
      </x:c>
      <x:c r="T5" s="14" t="str">
        <x:f>IF(COUNT(L5:Q5)&lt;6,"Não qualificado",IF(S5&gt;=75,"Fit alto",IF(S5&gt;=55,"Fit médio","Fit baixo")))</x:f>
        <x:v>Não qualificado</x:v>
      </x:c>
      <x:c r="U5" t="str"/>
      <x:c r="V5" t="str">
        <x:v>Não iniciado</x:v>
      </x:c>
      <x:c r="W5" t="str"/>
    </x:row>
    <x:row r="6" ht="32" customHeight="1">
      <x:c r="A6" t="str">
        <x:v>23.728.932/0001-50</x:v>
      </x:c>
      <x:c r="B6" t="str">
        <x:v>BE HAPPY</x:v>
      </x:c>
      <x:c r="C6" t="str">
        <x:v>Maringa</x:v>
      </x:c>
      <x:c r="D6" t="str">
        <x:v>ME</x:v>
      </x:c>
      <x:c r="E6" t="n">
        <x:v>0</x:v>
      </x:c>
      <x:c r="F6" s="10" t="str">
        <x:v>ATÉ R$ 50 MIL</x:v>
      </x:c>
      <x:c r="G6" s="10" t="str">
        <x:v>Indefinido | atendimento</x:v>
      </x:c>
      <x:c r="H6" s="10" t="str">
        <x:v>Não inferir demanda no WhatsApp apenas pelo CNAE.</x:v>
      </x:c>
      <x:c r="I6" s="10" t="str">
        <x:v>P3 | avaliar</x:v>
      </x:c>
      <x:c r="J6" s="10" t="str">
        <x:v>Quantos pedidos começam no WhatsApp/dia, e quantos são concluídos?</x:v>
      </x:c>
      <x:c r="K6" s="10" t="str"/>
      <x:c r="L6" s="12"/>
      <x:c r="M6" s="12"/>
      <x:c r="N6" s="12"/>
      <x:c r="O6" s="12"/>
      <x:c r="P6" s="12"/>
      <x:c r="Q6" s="12"/>
      <x:c r="R6" s="14" t="n">
        <x:f>ROUND(COUNT(L6:Q6)/6*100,0)</x:f>
        <x:v>0</x:v>
      </x:c>
      <x:c r="S6" s="14" t="str">
        <x:f>IF(COUNT(L6:Q6)&lt;6,"A validar",ROUND(SUMPRODUCT(L6:Q6,'Motor de Score'!$B$7:$G$7)/5,0))</x:f>
        <x:v>A validar</x:v>
      </x:c>
      <x:c r="T6" s="14" t="str">
        <x:f>IF(COUNT(L6:Q6)&lt;6,"Não qualificado",IF(S6&gt;=75,"Fit alto",IF(S6&gt;=55,"Fit médio","Fit baixo")))</x:f>
        <x:v>Não qualificado</x:v>
      </x:c>
      <x:c r="U6" t="str"/>
      <x:c r="V6" t="str">
        <x:v>Não iniciado</x:v>
      </x:c>
      <x:c r="W6" t="str"/>
    </x:row>
    <x:row r="7" ht="32" customHeight="1">
      <x:c r="A7" t="str">
        <x:v>23.752.294/0001-03</x:v>
      </x:c>
      <x:c r="B7" t="str">
        <x:v>DOM CARNIVORO</x:v>
      </x:c>
      <x:c r="C7" t="str">
        <x:v>Maringa</x:v>
      </x:c>
      <x:c r="D7" t="str">
        <x:v>EPP</x:v>
      </x:c>
      <x:c r="E7" t="n">
        <x:v>0</x:v>
      </x:c>
      <x:c r="F7" s="10" t="str">
        <x:v>DE R$ 250 MIL ATÉ R$ 500 MIL</x:v>
      </x:c>
      <x:c r="G7" s="10" t="str">
        <x:v>Indefinido | atendimento</x:v>
      </x:c>
      <x:c r="H7" s="10" t="str">
        <x:v>Não inferir demanda no WhatsApp apenas pelo CNAE.</x:v>
      </x:c>
      <x:c r="I7" s="10" t="str">
        <x:v>P3 | avaliar</x:v>
      </x:c>
      <x:c r="J7" s="10" t="str">
        <x:v>Quantos pedidos começam no WhatsApp/dia, e quantos são concluídos?</x:v>
      </x:c>
      <x:c r="K7" s="10" t="str">
        <x:v>https://www.ifood.com.br/delivery/maringa-pr/dom-carnivoro-zona-04/080003ad-11e2-4e65-8ca3-c6959919a1f6</x:v>
      </x:c>
      <x:c r="L7" s="12"/>
      <x:c r="M7" s="12"/>
      <x:c r="N7" s="12"/>
      <x:c r="O7" s="12"/>
      <x:c r="P7" s="12"/>
      <x:c r="Q7" s="12"/>
      <x:c r="R7" s="14" t="n">
        <x:f>ROUND(COUNT(L7:Q7)/6*100,0)</x:f>
        <x:v>0</x:v>
      </x:c>
      <x:c r="S7" s="14" t="str">
        <x:f>IF(COUNT(L7:Q7)&lt;6,"A validar",ROUND(SUMPRODUCT(L7:Q7,'Motor de Score'!$B$7:$G$7)/5,0))</x:f>
        <x:v>A validar</x:v>
      </x:c>
      <x:c r="T7" s="14" t="str">
        <x:f>IF(COUNT(L7:Q7)&lt;6,"Não qualificado",IF(S7&gt;=75,"Fit alto",IF(S7&gt;=55,"Fit médio","Fit baixo")))</x:f>
        <x:v>Não qualificado</x:v>
      </x:c>
      <x:c r="U7" t="str"/>
      <x:c r="V7" t="str">
        <x:v>Não iniciado</x:v>
      </x:c>
      <x:c r="W7" t="str"/>
    </x:row>
    <x:row r="8" ht="32" customHeight="1">
      <x:c r="A8" t="str">
        <x:v>26.956.146/0001-07</x:v>
      </x:c>
      <x:c r="B8" t="str">
        <x:v>BLACK BULL STEAKHOUSE - CERRO AZUL</x:v>
      </x:c>
      <x:c r="C8" t="str">
        <x:v>Maringa</x:v>
      </x:c>
      <x:c r="D8" t="str">
        <x:v>ME</x:v>
      </x:c>
      <x:c r="E8" t="n">
        <x:v>0</x:v>
      </x:c>
      <x:c r="F8" s="10" t="str">
        <x:v>DE R$ 500 MIL ATÉ R$ 1 MM</x:v>
      </x:c>
      <x:c r="G8" s="10" t="str">
        <x:v>Presencial | steakhouse</x:v>
      </x:c>
      <x:c r="H8" s="10" t="str">
        <x:v>Hipótese de menor dependência comercial do WhatsApp (relato do usuário).</x:v>
      </x:c>
      <x:c r="I8" s="10" t="str">
        <x:v>P3 | baixa prioridade</x:v>
      </x:c>
      <x:c r="J8" s="10" t="str">
        <x:v>Quantas reservas, eventos ou orçamentos iniciam pelo WhatsApp/mês?</x:v>
      </x:c>
      <x:c r="K8" s="10" t="str"/>
      <x:c r="L8" s="12"/>
      <x:c r="M8" s="12"/>
      <x:c r="N8" s="12"/>
      <x:c r="O8" s="12"/>
      <x:c r="P8" s="12"/>
      <x:c r="Q8" s="12"/>
      <x:c r="R8" s="14" t="n">
        <x:f>ROUND(COUNT(L8:Q8)/6*100,0)</x:f>
        <x:v>0</x:v>
      </x:c>
      <x:c r="S8" s="14" t="str">
        <x:f>IF(COUNT(L8:Q8)&lt;6,"A validar",ROUND(SUMPRODUCT(L8:Q8,'Motor de Score'!$B$7:$G$7)/5,0))</x:f>
        <x:v>A validar</x:v>
      </x:c>
      <x:c r="T8" s="14" t="str">
        <x:f>IF(COUNT(L8:Q8)&lt;6,"Não qualificado",IF(S8&gt;=75,"Fit alto",IF(S8&gt;=55,"Fit médio","Fit baixo")))</x:f>
        <x:v>Não qualificado</x:v>
      </x:c>
      <x:c r="U8" t="str"/>
      <x:c r="V8" t="str">
        <x:v>Não iniciado</x:v>
      </x:c>
      <x:c r="W8" t="str"/>
    </x:row>
    <x:row r="9" ht="32" customHeight="1">
      <x:c r="A9" t="str">
        <x:v>28.249.012/0001-73</x:v>
      </x:c>
      <x:c r="B9" t="str">
        <x:v>DOMINO S PIZZA MARINGA</x:v>
      </x:c>
      <x:c r="C9" t="str">
        <x:v>Maringa</x:v>
      </x:c>
      <x:c r="D9" t="str">
        <x:v>ME</x:v>
      </x:c>
      <x:c r="E9" t="n">
        <x:v>0</x:v>
      </x:c>
      <x:c r="F9" s="10" t="str">
        <x:v>DE R$ 1 MM ATÉ R$ 2 MM</x:v>
      </x:c>
      <x:c r="G9" s="10" t="str">
        <x:v>Pedidos | validar autonomia da unidade</x:v>
      </x:c>
      <x:c r="H9" s="10" t="str">
        <x:v>Franquia/rede: governança pode limitar implantação.</x:v>
      </x:c>
      <x:c r="I9" s="10" t="str">
        <x:v>P2 | autonomia</x:v>
      </x:c>
      <x:c r="J9" s="10" t="str">
        <x:v>Quem pode contratar solução fora do padrão da marca?</x:v>
      </x:c>
      <x:c r="K9" s="10" t="str"/>
      <x:c r="L9" s="12"/>
      <x:c r="M9" s="12"/>
      <x:c r="N9" s="12"/>
      <x:c r="O9" s="12"/>
      <x:c r="P9" s="12"/>
      <x:c r="Q9" s="12"/>
      <x:c r="R9" s="14" t="n">
        <x:f>ROUND(COUNT(L9:Q9)/6*100,0)</x:f>
        <x:v>0</x:v>
      </x:c>
      <x:c r="S9" s="14" t="str">
        <x:f>IF(COUNT(L9:Q9)&lt;6,"A validar",ROUND(SUMPRODUCT(L9:Q9,'Motor de Score'!$B$7:$G$7)/5,0))</x:f>
        <x:v>A validar</x:v>
      </x:c>
      <x:c r="T9" s="14" t="str">
        <x:f>IF(COUNT(L9:Q9)&lt;6,"Não qualificado",IF(S9&gt;=75,"Fit alto",IF(S9&gt;=55,"Fit médio","Fit baixo")))</x:f>
        <x:v>Não qualificado</x:v>
      </x:c>
      <x:c r="U9" t="str"/>
      <x:c r="V9" t="str">
        <x:v>Não iniciado</x:v>
      </x:c>
      <x:c r="W9" t="str"/>
    </x:row>
    <x:row r="10" ht="32" customHeight="1">
      <x:c r="A10" t="str">
        <x:v>28.556.559/0001-11</x:v>
      </x:c>
      <x:c r="B10" t="str">
        <x:v>CASEBRE DO DITO</x:v>
      </x:c>
      <x:c r="C10" t="str">
        <x:v>Maringa</x:v>
      </x:c>
      <x:c r="D10" t="str">
        <x:v>EPP</x:v>
      </x:c>
      <x:c r="E10" t="n">
        <x:v>0</x:v>
      </x:c>
      <x:c r="F10" s="10" t="str">
        <x:v>DE R$ 250 MIL ATÉ R$ 500 MIL</x:v>
      </x:c>
      <x:c r="G10" s="10" t="str">
        <x:v>Indefinido | atendimento</x:v>
      </x:c>
      <x:c r="H10" s="10" t="str">
        <x:v>Não inferir demanda no WhatsApp apenas pelo CNAE.</x:v>
      </x:c>
      <x:c r="I10" s="10" t="str">
        <x:v>P3 | avaliar</x:v>
      </x:c>
      <x:c r="J10" s="10" t="str">
        <x:v>Quantos pedidos começam no WhatsApp/dia, e quantos são concluídos?</x:v>
      </x:c>
      <x:c r="K10" s="10" t="str"/>
      <x:c r="L10" s="12"/>
      <x:c r="M10" s="12"/>
      <x:c r="N10" s="12"/>
      <x:c r="O10" s="12"/>
      <x:c r="P10" s="12"/>
      <x:c r="Q10" s="12"/>
      <x:c r="R10" s="14" t="n">
        <x:f>ROUND(COUNT(L10:Q10)/6*100,0)</x:f>
        <x:v>0</x:v>
      </x:c>
      <x:c r="S10" s="14" t="str">
        <x:f>IF(COUNT(L10:Q10)&lt;6,"A validar",ROUND(SUMPRODUCT(L10:Q10,'Motor de Score'!$B$7:$G$7)/5,0))</x:f>
        <x:v>A validar</x:v>
      </x:c>
      <x:c r="T10" s="14" t="str">
        <x:f>IF(COUNT(L10:Q10)&lt;6,"Não qualificado",IF(S10&gt;=75,"Fit alto",IF(S10&gt;=55,"Fit médio","Fit baixo")))</x:f>
        <x:v>Não qualificado</x:v>
      </x:c>
      <x:c r="U10" t="str"/>
      <x:c r="V10" t="str">
        <x:v>Não iniciado</x:v>
      </x:c>
      <x:c r="W10" t="str"/>
    </x:row>
    <x:row r="11" ht="32" customHeight="1">
      <x:c r="A11" t="str">
        <x:v>28.589.698/0001-41</x:v>
      </x:c>
      <x:c r="B11" t="str">
        <x:v>PIZZARIA MARCELUS</x:v>
      </x:c>
      <x:c r="C11" t="str">
        <x:v>Maringa</x:v>
      </x:c>
      <x:c r="D11" t="str">
        <x:v>ME</x:v>
      </x:c>
      <x:c r="E11" t="n">
        <x:v>0</x:v>
      </x:c>
      <x:c r="F11" s="10" t="str">
        <x:v>DE R$ 1 MM ATÉ R$ 2 MM</x:v>
      </x:c>
      <x:c r="G11" s="10" t="str">
        <x:v>Pedidos | delivery e app</x:v>
      </x:c>
      <x:c r="H11" s="10" t="str">
        <x:v>Site divulga delivery, cardápio e app; WhatsApp precisa ser medido.</x:v>
      </x:c>
      <x:c r="I11" s="10" t="str">
        <x:v>P1 | pesquisa</x:v>
      </x:c>
      <x:c r="J11" s="10" t="str">
        <x:v>Quantos pedidos começam no WhatsApp/dia, e quantos são concluídos?</x:v>
      </x:c>
      <x:c r="K11" s="10" t="str">
        <x:v>https://pizzariamarcelus.com.br/</x:v>
      </x:c>
      <x:c r="L11" s="12"/>
      <x:c r="M11" s="12"/>
      <x:c r="N11" s="12"/>
      <x:c r="O11" s="12"/>
      <x:c r="P11" s="12"/>
      <x:c r="Q11" s="12"/>
      <x:c r="R11" s="14" t="n">
        <x:f>ROUND(COUNT(L11:Q11)/6*100,0)</x:f>
        <x:v>0</x:v>
      </x:c>
      <x:c r="S11" s="14" t="str">
        <x:f>IF(COUNT(L11:Q11)&lt;6,"A validar",ROUND(SUMPRODUCT(L11:Q11,'Motor de Score'!$B$7:$G$7)/5,0))</x:f>
        <x:v>A validar</x:v>
      </x:c>
      <x:c r="T11" s="14" t="str">
        <x:f>IF(COUNT(L11:Q11)&lt;6,"Não qualificado",IF(S11&gt;=75,"Fit alto",IF(S11&gt;=55,"Fit médio","Fit baixo")))</x:f>
        <x:v>Não qualificado</x:v>
      </x:c>
      <x:c r="U11" t="str"/>
      <x:c r="V11" t="str">
        <x:v>Não iniciado</x:v>
      </x:c>
      <x:c r="W11" t="str">
        <x:v>Nome fantasia cadastro 'PIZZARIA MARCELUS'; site usa 'Marcelu’s' e endereço Rua Paranaguá 450.</x:v>
      </x:c>
    </x:row>
    <x:row r="12" ht="32" customHeight="1">
      <x:c r="A12" t="str">
        <x:v>29.279.416/0001-72</x:v>
      </x:c>
      <x:c r="B12" t="str">
        <x:v>PASTEL DO TOM</x:v>
      </x:c>
      <x:c r="C12" t="str">
        <x:v>Maringa</x:v>
      </x:c>
      <x:c r="D12" t="str">
        <x:v>ME</x:v>
      </x:c>
      <x:c r="E12" t="n">
        <x:v>0</x:v>
      </x:c>
      <x:c r="F12" s="10" t="str">
        <x:v>DE R$ 500 MIL ATÉ R$ 1 MM</x:v>
      </x:c>
      <x:c r="G12" s="10" t="str">
        <x:v>Indefinido | atendimento</x:v>
      </x:c>
      <x:c r="H12" s="10" t="str">
        <x:v>Não inferir demanda no WhatsApp apenas pelo CNAE.</x:v>
      </x:c>
      <x:c r="I12" s="10" t="str">
        <x:v>P3 | avaliar</x:v>
      </x:c>
      <x:c r="J12" s="10" t="str">
        <x:v>Quantos pedidos começam no WhatsApp/dia, e quantos são concluídos?</x:v>
      </x:c>
      <x:c r="K12" s="10" t="str"/>
      <x:c r="L12" s="12"/>
      <x:c r="M12" s="12"/>
      <x:c r="N12" s="12"/>
      <x:c r="O12" s="12"/>
      <x:c r="P12" s="12"/>
      <x:c r="Q12" s="12"/>
      <x:c r="R12" s="14" t="n">
        <x:f>ROUND(COUNT(L12:Q12)/6*100,0)</x:f>
        <x:v>0</x:v>
      </x:c>
      <x:c r="S12" s="14" t="str">
        <x:f>IF(COUNT(L12:Q12)&lt;6,"A validar",ROUND(SUMPRODUCT(L12:Q12,'Motor de Score'!$B$7:$G$7)/5,0))</x:f>
        <x:v>A validar</x:v>
      </x:c>
      <x:c r="T12" s="14" t="str">
        <x:f>IF(COUNT(L12:Q12)&lt;6,"Não qualificado",IF(S12&gt;=75,"Fit alto",IF(S12&gt;=55,"Fit médio","Fit baixo")))</x:f>
        <x:v>Não qualificado</x:v>
      </x:c>
      <x:c r="U12" t="str"/>
      <x:c r="V12" t="str">
        <x:v>Não iniciado</x:v>
      </x:c>
      <x:c r="W12" t="str"/>
    </x:row>
    <x:row r="13" ht="32" customHeight="1">
      <x:c r="A13" t="str">
        <x:v>30.399.129/0001-85</x:v>
      </x:c>
      <x:c r="B13" t="str">
        <x:v>LANCHONETE SAL &amp; LIMAO</x:v>
      </x:c>
      <x:c r="C13" t="str">
        <x:v>Maringa</x:v>
      </x:c>
      <x:c r="D13" t="str">
        <x:v>ME</x:v>
      </x:c>
      <x:c r="E13" t="n">
        <x:v>0</x:v>
      </x:c>
      <x:c r="F13" s="10" t="str">
        <x:v>DE R$ 100 MIL ATÉ R$ 250 MIL</x:v>
      </x:c>
      <x:c r="G13" s="10" t="str">
        <x:v>Pedidos | hipótese pelo segmento</x:v>
      </x:c>
      <x:c r="H13" s="10" t="str">
        <x:v>Nome/CNAE sugerem possível canal de pedidos; participação WhatsApp não verificada.</x:v>
      </x:c>
      <x:c r="I13" s="10" t="str">
        <x:v>P2 | canal</x:v>
      </x:c>
      <x:c r="J13" s="10" t="str">
        <x:v>Quantos pedidos começam no WhatsApp/dia, e quantos são concluídos?</x:v>
      </x:c>
      <x:c r="K13" s="10" t="str"/>
      <x:c r="L13" s="12"/>
      <x:c r="M13" s="12"/>
      <x:c r="N13" s="12"/>
      <x:c r="O13" s="12"/>
      <x:c r="P13" s="12"/>
      <x:c r="Q13" s="12"/>
      <x:c r="R13" s="14" t="n">
        <x:f>ROUND(COUNT(L13:Q13)/6*100,0)</x:f>
        <x:v>0</x:v>
      </x:c>
      <x:c r="S13" s="14" t="str">
        <x:f>IF(COUNT(L13:Q13)&lt;6,"A validar",ROUND(SUMPRODUCT(L13:Q13,'Motor de Score'!$B$7:$G$7)/5,0))</x:f>
        <x:v>A validar</x:v>
      </x:c>
      <x:c r="T13" s="14" t="str">
        <x:f>IF(COUNT(L13:Q13)&lt;6,"Não qualificado",IF(S13&gt;=75,"Fit alto",IF(S13&gt;=55,"Fit médio","Fit baixo")))</x:f>
        <x:v>Não qualificado</x:v>
      </x:c>
      <x:c r="U13" t="str"/>
      <x:c r="V13" t="str">
        <x:v>Não iniciado</x:v>
      </x:c>
      <x:c r="W13" t="str"/>
    </x:row>
    <x:row r="14" ht="32" customHeight="1">
      <x:c r="A14" t="str">
        <x:v>30.911.506/0001-13</x:v>
      </x:c>
      <x:c r="B14" t="str">
        <x:v>ALMAZA</x:v>
      </x:c>
      <x:c r="C14" t="str">
        <x:v>Maringa</x:v>
      </x:c>
      <x:c r="D14" t="str">
        <x:v>ME</x:v>
      </x:c>
      <x:c r="E14" t="n">
        <x:v>0</x:v>
      </x:c>
      <x:c r="F14" s="10" t="str">
        <x:v>ATÉ R$ 50 MIL</x:v>
      </x:c>
      <x:c r="G14" s="10" t="str">
        <x:v>Indefinido | atendimento</x:v>
      </x:c>
      <x:c r="H14" s="10" t="str">
        <x:v>Não inferir demanda no WhatsApp apenas pelo CNAE.</x:v>
      </x:c>
      <x:c r="I14" s="10" t="str">
        <x:v>P3 | avaliar</x:v>
      </x:c>
      <x:c r="J14" s="10" t="str">
        <x:v>Quantos pedidos começam no WhatsApp/dia, e quantos são concluídos?</x:v>
      </x:c>
      <x:c r="K14" s="10" t="str"/>
      <x:c r="L14" s="12"/>
      <x:c r="M14" s="12"/>
      <x:c r="N14" s="12"/>
      <x:c r="O14" s="12"/>
      <x:c r="P14" s="12"/>
      <x:c r="Q14" s="12"/>
      <x:c r="R14" s="14" t="n">
        <x:f>ROUND(COUNT(L14:Q14)/6*100,0)</x:f>
        <x:v>0</x:v>
      </x:c>
      <x:c r="S14" s="14" t="str">
        <x:f>IF(COUNT(L14:Q14)&lt;6,"A validar",ROUND(SUMPRODUCT(L14:Q14,'Motor de Score'!$B$7:$G$7)/5,0))</x:f>
        <x:v>A validar</x:v>
      </x:c>
      <x:c r="T14" s="14" t="str">
        <x:f>IF(COUNT(L14:Q14)&lt;6,"Não qualificado",IF(S14&gt;=75,"Fit alto",IF(S14&gt;=55,"Fit médio","Fit baixo")))</x:f>
        <x:v>Não qualificado</x:v>
      </x:c>
      <x:c r="U14" t="str"/>
      <x:c r="V14" t="str">
        <x:v>Não iniciado</x:v>
      </x:c>
      <x:c r="W14" t="str"/>
    </x:row>
    <x:row r="15" ht="32" customHeight="1">
      <x:c r="A15" t="str">
        <x:v>31.583.140/0001-63</x:v>
      </x:c>
      <x:c r="B15" t="str">
        <x:v>PIZZARIA E COSTELARIA J. MAIA</x:v>
      </x:c>
      <x:c r="C15" t="str">
        <x:v>Maringa</x:v>
      </x:c>
      <x:c r="D15" t="str">
        <x:v>EPP</x:v>
      </x:c>
      <x:c r="E15" t="n">
        <x:v>0</x:v>
      </x:c>
      <x:c r="F15" s="10" t="str">
        <x:v>DE R$ 500 MIL ATÉ R$ 1 MM</x:v>
      </x:c>
      <x:c r="G15" s="10" t="str">
        <x:v>Pedidos | hipótese pelo segmento</x:v>
      </x:c>
      <x:c r="H15" s="10" t="str">
        <x:v>Nome/CNAE sugerem possível canal de pedidos; participação WhatsApp não verificada.</x:v>
      </x:c>
      <x:c r="I15" s="10" t="str">
        <x:v>P2 | canal</x:v>
      </x:c>
      <x:c r="J15" s="10" t="str">
        <x:v>Quantos pedidos começam no WhatsApp/dia, e quantos são concluídos?</x:v>
      </x:c>
      <x:c r="K15" s="10" t="str"/>
      <x:c r="L15" s="12"/>
      <x:c r="M15" s="12"/>
      <x:c r="N15" s="12"/>
      <x:c r="O15" s="12"/>
      <x:c r="P15" s="12"/>
      <x:c r="Q15" s="12"/>
      <x:c r="R15" s="14" t="n">
        <x:f>ROUND(COUNT(L15:Q15)/6*100,0)</x:f>
        <x:v>0</x:v>
      </x:c>
      <x:c r="S15" s="14" t="str">
        <x:f>IF(COUNT(L15:Q15)&lt;6,"A validar",ROUND(SUMPRODUCT(L15:Q15,'Motor de Score'!$B$7:$G$7)/5,0))</x:f>
        <x:v>A validar</x:v>
      </x:c>
      <x:c r="T15" s="14" t="str">
        <x:f>IF(COUNT(L15:Q15)&lt;6,"Não qualificado",IF(S15&gt;=75,"Fit alto",IF(S15&gt;=55,"Fit médio","Fit baixo")))</x:f>
        <x:v>Não qualificado</x:v>
      </x:c>
      <x:c r="U15" t="str"/>
      <x:c r="V15" t="str">
        <x:v>Não iniciado</x:v>
      </x:c>
      <x:c r="W15" t="str"/>
    </x:row>
    <x:row r="16" ht="32" customHeight="1">
      <x:c r="A16" t="str">
        <x:v>31.680.500/0001-45</x:v>
      </x:c>
      <x:c r="B16" t="str">
        <x:v>CHALE DO BOLO</x:v>
      </x:c>
      <x:c r="C16" t="str">
        <x:v>Maringa</x:v>
      </x:c>
      <x:c r="D16" t="str">
        <x:v>ME</x:v>
      </x:c>
      <x:c r="E16" t="n">
        <x:v>0</x:v>
      </x:c>
      <x:c r="F16" s="10" t="str">
        <x:v>DE R$ 100 MIL ATÉ R$ 250 MIL</x:v>
      </x:c>
      <x:c r="G16" s="10" t="str">
        <x:v>Indefinido | atendimento</x:v>
      </x:c>
      <x:c r="H16" s="10" t="str">
        <x:v>Não inferir demanda no WhatsApp apenas pelo CNAE.</x:v>
      </x:c>
      <x:c r="I16" s="10" t="str">
        <x:v>P3 | avaliar</x:v>
      </x:c>
      <x:c r="J16" s="10" t="str">
        <x:v>Quantos pedidos começam no WhatsApp/dia, e quantos são concluídos?</x:v>
      </x:c>
      <x:c r="K16" s="10" t="str"/>
      <x:c r="L16" s="12"/>
      <x:c r="M16" s="12"/>
      <x:c r="N16" s="12"/>
      <x:c r="O16" s="12"/>
      <x:c r="P16" s="12"/>
      <x:c r="Q16" s="12"/>
      <x:c r="R16" s="14" t="n">
        <x:f>ROUND(COUNT(L16:Q16)/6*100,0)</x:f>
        <x:v>0</x:v>
      </x:c>
      <x:c r="S16" s="14" t="str">
        <x:f>IF(COUNT(L16:Q16)&lt;6,"A validar",ROUND(SUMPRODUCT(L16:Q16,'Motor de Score'!$B$7:$G$7)/5,0))</x:f>
        <x:v>A validar</x:v>
      </x:c>
      <x:c r="T16" s="14" t="str">
        <x:f>IF(COUNT(L16:Q16)&lt;6,"Não qualificado",IF(S16&gt;=75,"Fit alto",IF(S16&gt;=55,"Fit médio","Fit baixo")))</x:f>
        <x:v>Não qualificado</x:v>
      </x:c>
      <x:c r="U16" t="str"/>
      <x:c r="V16" t="str">
        <x:v>Não iniciado</x:v>
      </x:c>
      <x:c r="W16" t="str"/>
    </x:row>
    <x:row r="17" ht="32" customHeight="1">
      <x:c r="A17" t="str">
        <x:v>31.749.851/0001-65</x:v>
      </x:c>
      <x:c r="B17" t="str">
        <x:v>BIZZA RESTAURANTE E PIZZARIA</x:v>
      </x:c>
      <x:c r="C17" t="str">
        <x:v>Maringa</x:v>
      </x:c>
      <x:c r="D17" t="str">
        <x:v>ME</x:v>
      </x:c>
      <x:c r="E17" t="n">
        <x:v>0</x:v>
      </x:c>
      <x:c r="F17" s="10" t="str">
        <x:v>ATÉ R$ 50 MIL</x:v>
      </x:c>
      <x:c r="G17" s="10" t="str">
        <x:v>Pedidos | hipótese pelo segmento</x:v>
      </x:c>
      <x:c r="H17" s="10" t="str">
        <x:v>Nome/CNAE sugerem possível canal de pedidos; participação WhatsApp não verificada.</x:v>
      </x:c>
      <x:c r="I17" s="10" t="str">
        <x:v>P2 | canal</x:v>
      </x:c>
      <x:c r="J17" s="10" t="str">
        <x:v>Quantos pedidos começam no WhatsApp/dia, e quantos são concluídos?</x:v>
      </x:c>
      <x:c r="K17" s="10" t="str"/>
      <x:c r="L17" s="12"/>
      <x:c r="M17" s="12"/>
      <x:c r="N17" s="12"/>
      <x:c r="O17" s="12"/>
      <x:c r="P17" s="12"/>
      <x:c r="Q17" s="12"/>
      <x:c r="R17" s="14" t="n">
        <x:f>ROUND(COUNT(L17:Q17)/6*100,0)</x:f>
        <x:v>0</x:v>
      </x:c>
      <x:c r="S17" s="14" t="str">
        <x:f>IF(COUNT(L17:Q17)&lt;6,"A validar",ROUND(SUMPRODUCT(L17:Q17,'Motor de Score'!$B$7:$G$7)/5,0))</x:f>
        <x:v>A validar</x:v>
      </x:c>
      <x:c r="T17" s="14" t="str">
        <x:f>IF(COUNT(L17:Q17)&lt;6,"Não qualificado",IF(S17&gt;=75,"Fit alto",IF(S17&gt;=55,"Fit médio","Fit baixo")))</x:f>
        <x:v>Não qualificado</x:v>
      </x:c>
      <x:c r="U17" t="str"/>
      <x:c r="V17" t="str">
        <x:v>Não iniciado</x:v>
      </x:c>
      <x:c r="W17" t="str"/>
    </x:row>
    <x:row r="18" ht="32" customHeight="1">
      <x:c r="A18" t="str">
        <x:v>31.805.254/0001-00</x:v>
      </x:c>
      <x:c r="B18" t="str">
        <x:v>TOMIO PASTEIS E SALGADOS</x:v>
      </x:c>
      <x:c r="C18" t="str">
        <x:v>Maringa</x:v>
      </x:c>
      <x:c r="D18" t="str">
        <x:v>ME</x:v>
      </x:c>
      <x:c r="E18" t="n">
        <x:v>0</x:v>
      </x:c>
      <x:c r="F18" s="10" t="str">
        <x:v>DE R$ 250 MIL ATÉ R$ 500 MIL</x:v>
      </x:c>
      <x:c r="G18" s="10" t="str">
        <x:v>Pedidos | hipótese pelo segmento</x:v>
      </x:c>
      <x:c r="H18" s="10" t="str">
        <x:v>Nome/CNAE sugerem possível canal de pedidos; participação WhatsApp não verificada.</x:v>
      </x:c>
      <x:c r="I18" s="10" t="str">
        <x:v>P2 | canal</x:v>
      </x:c>
      <x:c r="J18" s="10" t="str">
        <x:v>Quantos pedidos começam no WhatsApp/dia, e quantos são concluídos?</x:v>
      </x:c>
      <x:c r="K18" s="10" t="str"/>
      <x:c r="L18" s="12"/>
      <x:c r="M18" s="12"/>
      <x:c r="N18" s="12"/>
      <x:c r="O18" s="12"/>
      <x:c r="P18" s="12"/>
      <x:c r="Q18" s="12"/>
      <x:c r="R18" s="14" t="n">
        <x:f>ROUND(COUNT(L18:Q18)/6*100,0)</x:f>
        <x:v>0</x:v>
      </x:c>
      <x:c r="S18" s="14" t="str">
        <x:f>IF(COUNT(L18:Q18)&lt;6,"A validar",ROUND(SUMPRODUCT(L18:Q18,'Motor de Score'!$B$7:$G$7)/5,0))</x:f>
        <x:v>A validar</x:v>
      </x:c>
      <x:c r="T18" s="14" t="str">
        <x:f>IF(COUNT(L18:Q18)&lt;6,"Não qualificado",IF(S18&gt;=75,"Fit alto",IF(S18&gt;=55,"Fit médio","Fit baixo")))</x:f>
        <x:v>Não qualificado</x:v>
      </x:c>
      <x:c r="U18" t="str"/>
      <x:c r="V18" t="str">
        <x:v>Não iniciado</x:v>
      </x:c>
      <x:c r="W18" t="str"/>
    </x:row>
    <x:row r="19" ht="32" customHeight="1">
      <x:c r="A19" t="str">
        <x:v>31.982.822/0001-49</x:v>
      </x:c>
      <x:c r="B19" t="str">
        <x:v>BRAZAI SUSHI</x:v>
      </x:c>
      <x:c r="C19" t="str">
        <x:v>Maringa</x:v>
      </x:c>
      <x:c r="D19" t="str">
        <x:v>ME</x:v>
      </x:c>
      <x:c r="E19" t="n">
        <x:v>0</x:v>
      </x:c>
      <x:c r="F19" s="10" t="str">
        <x:v>DE R$ 100 MIL ATÉ R$ 250 MIL</x:v>
      </x:c>
      <x:c r="G19" s="10" t="str">
        <x:v>Pedidos | hipótese pelo segmento</x:v>
      </x:c>
      <x:c r="H19" s="10" t="str">
        <x:v>Nome/CNAE sugerem possível canal de pedidos; participação WhatsApp não verificada.</x:v>
      </x:c>
      <x:c r="I19" s="10" t="str">
        <x:v>P2 | canal</x:v>
      </x:c>
      <x:c r="J19" s="10" t="str">
        <x:v>Quantos pedidos começam no WhatsApp/dia, e quantos são concluídos?</x:v>
      </x:c>
      <x:c r="K19" s="10" t="str"/>
      <x:c r="L19" s="12"/>
      <x:c r="M19" s="12"/>
      <x:c r="N19" s="12"/>
      <x:c r="O19" s="12"/>
      <x:c r="P19" s="12"/>
      <x:c r="Q19" s="12"/>
      <x:c r="R19" s="14" t="n">
        <x:f>ROUND(COUNT(L19:Q19)/6*100,0)</x:f>
        <x:v>0</x:v>
      </x:c>
      <x:c r="S19" s="14" t="str">
        <x:f>IF(COUNT(L19:Q19)&lt;6,"A validar",ROUND(SUMPRODUCT(L19:Q19,'Motor de Score'!$B$7:$G$7)/5,0))</x:f>
        <x:v>A validar</x:v>
      </x:c>
      <x:c r="T19" s="14" t="str">
        <x:f>IF(COUNT(L19:Q19)&lt;6,"Não qualificado",IF(S19&gt;=75,"Fit alto",IF(S19&gt;=55,"Fit médio","Fit baixo")))</x:f>
        <x:v>Não qualificado</x:v>
      </x:c>
      <x:c r="U19" t="str"/>
      <x:c r="V19" t="str">
        <x:v>Não iniciado</x:v>
      </x:c>
      <x:c r="W19" t="str"/>
    </x:row>
    <x:row r="20" ht="32" customHeight="1">
      <x:c r="A20" t="str">
        <x:v>32.576.911/0001-58</x:v>
      </x:c>
      <x:c r="B20" t="str">
        <x:v>PIZZARIA SAO FRANCISCO</x:v>
      </x:c>
      <x:c r="C20" t="str">
        <x:v>Maringa</x:v>
      </x:c>
      <x:c r="D20" t="str">
        <x:v>ME</x:v>
      </x:c>
      <x:c r="E20" t="n">
        <x:v>0</x:v>
      </x:c>
      <x:c r="F20" s="10" t="str">
        <x:v>ATÉ R$ 50 MIL</x:v>
      </x:c>
      <x:c r="G20" s="10" t="str">
        <x:v>Pedidos | hipótese pelo segmento</x:v>
      </x:c>
      <x:c r="H20" s="10" t="str">
        <x:v>Nome/CNAE sugerem possível canal de pedidos; participação WhatsApp não verificada.</x:v>
      </x:c>
      <x:c r="I20" s="10" t="str">
        <x:v>P2 | canal</x:v>
      </x:c>
      <x:c r="J20" s="10" t="str">
        <x:v>Quantos pedidos começam no WhatsApp/dia, e quantos são concluídos?</x:v>
      </x:c>
      <x:c r="K20" s="10" t="str"/>
      <x:c r="L20" s="12"/>
      <x:c r="M20" s="12"/>
      <x:c r="N20" s="12"/>
      <x:c r="O20" s="12"/>
      <x:c r="P20" s="12"/>
      <x:c r="Q20" s="12"/>
      <x:c r="R20" s="14" t="n">
        <x:f>ROUND(COUNT(L20:Q20)/6*100,0)</x:f>
        <x:v>0</x:v>
      </x:c>
      <x:c r="S20" s="14" t="str">
        <x:f>IF(COUNT(L20:Q20)&lt;6,"A validar",ROUND(SUMPRODUCT(L20:Q20,'Motor de Score'!$B$7:$G$7)/5,0))</x:f>
        <x:v>A validar</x:v>
      </x:c>
      <x:c r="T20" s="14" t="str">
        <x:f>IF(COUNT(L20:Q20)&lt;6,"Não qualificado",IF(S20&gt;=75,"Fit alto",IF(S20&gt;=55,"Fit médio","Fit baixo")))</x:f>
        <x:v>Não qualificado</x:v>
      </x:c>
      <x:c r="U20" t="str"/>
      <x:c r="V20" t="str">
        <x:v>Não iniciado</x:v>
      </x:c>
      <x:c r="W20" t="str"/>
    </x:row>
    <x:row r="21" ht="32" customHeight="1">
      <x:c r="A21" t="str">
        <x:v>33.070.724/0001-60</x:v>
      </x:c>
      <x:c r="B21" t="str">
        <x:v>FOGAREU ASSADOS</x:v>
      </x:c>
      <x:c r="C21" t="str">
        <x:v>Maringa</x:v>
      </x:c>
      <x:c r="D21" t="str">
        <x:v>ME</x:v>
      </x:c>
      <x:c r="E21" t="n">
        <x:v>1</x:v>
      </x:c>
      <x:c r="F21" s="10" t="str">
        <x:v>ATÉ R$ 50 MIL</x:v>
      </x:c>
      <x:c r="G21" s="10" t="str">
        <x:v>Indefinido | atendimento</x:v>
      </x:c>
      <x:c r="H21" s="10" t="str">
        <x:v>Não inferir demanda no WhatsApp apenas pelo CNAE.</x:v>
      </x:c>
      <x:c r="I21" s="10" t="str">
        <x:v>P3 | avaliar</x:v>
      </x:c>
      <x:c r="J21" s="10" t="str">
        <x:v>Quantos pedidos começam no WhatsApp/dia, e quantos são concluídos?</x:v>
      </x:c>
      <x:c r="K21" s="10" t="str"/>
      <x:c r="L21" s="12"/>
      <x:c r="M21" s="12"/>
      <x:c r="N21" s="12"/>
      <x:c r="O21" s="12"/>
      <x:c r="P21" s="12"/>
      <x:c r="Q21" s="12"/>
      <x:c r="R21" s="14" t="n">
        <x:f>ROUND(COUNT(L21:Q21)/6*100,0)</x:f>
        <x:v>0</x:v>
      </x:c>
      <x:c r="S21" s="14" t="str">
        <x:f>IF(COUNT(L21:Q21)&lt;6,"A validar",ROUND(SUMPRODUCT(L21:Q21,'Motor de Score'!$B$7:$G$7)/5,0))</x:f>
        <x:v>A validar</x:v>
      </x:c>
      <x:c r="T21" s="14" t="str">
        <x:f>IF(COUNT(L21:Q21)&lt;6,"Não qualificado",IF(S21&gt;=75,"Fit alto",IF(S21&gt;=55,"Fit médio","Fit baixo")))</x:f>
        <x:v>Não qualificado</x:v>
      </x:c>
      <x:c r="U21" t="str"/>
      <x:c r="V21" t="str">
        <x:v>Não iniciado</x:v>
      </x:c>
      <x:c r="W21" t="str"/>
    </x:row>
    <x:row r="22" ht="32" customHeight="1">
      <x:c r="A22" t="str">
        <x:v>33.101.153/0001-84</x:v>
      </x:c>
      <x:c r="B22" t="str">
        <x:v>ARMAZEM RESTAURANTE</x:v>
      </x:c>
      <x:c r="C22" t="str">
        <x:v>Maringa</x:v>
      </x:c>
      <x:c r="D22" t="str">
        <x:v>DEMAIS</x:v>
      </x:c>
      <x:c r="E22" t="n">
        <x:v>0</x:v>
      </x:c>
      <x:c r="F22" s="10" t="str">
        <x:v>DE R$ 2 MM ATÉ R$ 5 MM</x:v>
      </x:c>
      <x:c r="G22" s="10" t="str">
        <x:v>Presencial/híbrido | eventos</x:v>
      </x:c>
      <x:c r="H22" s="10" t="str">
        <x:v>Testar reservas, eventos, grupos e campanhas de recompra.</x:v>
      </x:c>
      <x:c r="I22" s="10" t="str">
        <x:v>P2 | outra oferta</x:v>
      </x:c>
      <x:c r="J22" s="10" t="str">
        <x:v>Quantas reservas, eventos ou orçamentos iniciam pelo WhatsApp/mês?</x:v>
      </x:c>
      <x:c r="K22" s="10" t="str"/>
      <x:c r="L22" s="12"/>
      <x:c r="M22" s="12"/>
      <x:c r="N22" s="12"/>
      <x:c r="O22" s="12"/>
      <x:c r="P22" s="12"/>
      <x:c r="Q22" s="12"/>
      <x:c r="R22" s="14" t="n">
        <x:f>ROUND(COUNT(L22:Q22)/6*100,0)</x:f>
        <x:v>0</x:v>
      </x:c>
      <x:c r="S22" s="14" t="str">
        <x:f>IF(COUNT(L22:Q22)&lt;6,"A validar",ROUND(SUMPRODUCT(L22:Q22,'Motor de Score'!$B$7:$G$7)/5,0))</x:f>
        <x:v>A validar</x:v>
      </x:c>
      <x:c r="T22" s="14" t="str">
        <x:f>IF(COUNT(L22:Q22)&lt;6,"Não qualificado",IF(S22&gt;=75,"Fit alto",IF(S22&gt;=55,"Fit médio","Fit baixo")))</x:f>
        <x:v>Não qualificado</x:v>
      </x:c>
      <x:c r="U22" t="str"/>
      <x:c r="V22" t="str">
        <x:v>Não iniciado</x:v>
      </x:c>
      <x:c r="W22" t="str"/>
    </x:row>
    <x:row r="23" ht="32" customHeight="1">
      <x:c r="A23" t="str">
        <x:v>33.736.485/0001-35</x:v>
      </x:c>
      <x:c r="B23" t="str">
        <x:v>STREET BURGER SMASH HOUSE</x:v>
      </x:c>
      <x:c r="C23" t="str">
        <x:v>Maringa</x:v>
      </x:c>
      <x:c r="D23" t="str">
        <x:v>EPP</x:v>
      </x:c>
      <x:c r="E23" t="n">
        <x:v>0</x:v>
      </x:c>
      <x:c r="F23" s="10" t="str">
        <x:v>DE R$ 100 MIL ATÉ R$ 250 MIL</x:v>
      </x:c>
      <x:c r="G23" s="10" t="str">
        <x:v>Híbrido | hambúrguer + delivery</x:v>
      </x:c>
      <x:c r="H23" s="10" t="str">
        <x:v>Há perfis públicos com delivery; conferir correspondência CNPJ/endereço.</x:v>
      </x:c>
      <x:c r="I23" s="10" t="str">
        <x:v>P1 | pesquisa</x:v>
      </x:c>
      <x:c r="J23" s="10" t="str">
        <x:v>Quantos pedidos começam no WhatsApp/dia, e quantos são concluídos?</x:v>
      </x:c>
      <x:c r="K23" s="10" t="str"/>
      <x:c r="L23" s="12"/>
      <x:c r="M23" s="12"/>
      <x:c r="N23" s="12"/>
      <x:c r="O23" s="12"/>
      <x:c r="P23" s="12"/>
      <x:c r="Q23" s="12"/>
      <x:c r="R23" s="14" t="n">
        <x:f>ROUND(COUNT(L23:Q23)/6*100,0)</x:f>
        <x:v>0</x:v>
      </x:c>
      <x:c r="S23" s="14" t="str">
        <x:f>IF(COUNT(L23:Q23)&lt;6,"A validar",ROUND(SUMPRODUCT(L23:Q23,'Motor de Score'!$B$7:$G$7)/5,0))</x:f>
        <x:v>A validar</x:v>
      </x:c>
      <x:c r="T23" s="14" t="str">
        <x:f>IF(COUNT(L23:Q23)&lt;6,"Não qualificado",IF(S23&gt;=75,"Fit alto",IF(S23&gt;=55,"Fit médio","Fit baixo")))</x:f>
        <x:v>Não qualificado</x:v>
      </x:c>
      <x:c r="U23" t="str"/>
      <x:c r="V23" t="str">
        <x:v>Não iniciado</x:v>
      </x:c>
      <x:c r="W23" t="str">
        <x:v>Cadastro: Av. Paraná 1512; perfil comercial pesquisado: Av. Prudente de Morais 36. Confirmar vínculo.</x:v>
      </x:c>
    </x:row>
    <x:row r="24" ht="32" customHeight="1">
      <x:c r="A24" t="str">
        <x:v>34.791.787/0001-79</x:v>
      </x:c>
      <x:c r="B24" t="str">
        <x:v>OKA SUSHI</x:v>
      </x:c>
      <x:c r="C24" t="str">
        <x:v>Cianorte</x:v>
      </x:c>
      <x:c r="D24" t="str">
        <x:v>ME</x:v>
      </x:c>
      <x:c r="E24" t="n">
        <x:v>0</x:v>
      </x:c>
      <x:c r="F24" s="10" t="str">
        <x:v>DE R$ 50 MIL ATÉ R$ 100 MIL</x:v>
      </x:c>
      <x:c r="G24" s="10" t="str">
        <x:v>Pedidos | hipótese pelo segmento</x:v>
      </x:c>
      <x:c r="H24" s="10" t="str">
        <x:v>Nome/CNAE sugerem possível canal de pedidos; participação WhatsApp não verificada.</x:v>
      </x:c>
      <x:c r="I24" s="10" t="str">
        <x:v>P2 | canal</x:v>
      </x:c>
      <x:c r="J24" s="10" t="str">
        <x:v>Quantos pedidos começam no WhatsApp/dia, e quantos são concluídos?</x:v>
      </x:c>
      <x:c r="K24" s="10" t="str"/>
      <x:c r="L24" s="12"/>
      <x:c r="M24" s="12"/>
      <x:c r="N24" s="12"/>
      <x:c r="O24" s="12"/>
      <x:c r="P24" s="12"/>
      <x:c r="Q24" s="12"/>
      <x:c r="R24" s="14" t="n">
        <x:f>ROUND(COUNT(L24:Q24)/6*100,0)</x:f>
        <x:v>0</x:v>
      </x:c>
      <x:c r="S24" s="14" t="str">
        <x:f>IF(COUNT(L24:Q24)&lt;6,"A validar",ROUND(SUMPRODUCT(L24:Q24,'Motor de Score'!$B$7:$G$7)/5,0))</x:f>
        <x:v>A validar</x:v>
      </x:c>
      <x:c r="T24" s="14" t="str">
        <x:f>IF(COUNT(L24:Q24)&lt;6,"Não qualificado",IF(S24&gt;=75,"Fit alto",IF(S24&gt;=55,"Fit médio","Fit baixo")))</x:f>
        <x:v>Não qualificado</x:v>
      </x:c>
      <x:c r="U24" t="str"/>
      <x:c r="V24" t="str">
        <x:v>Não iniciado</x:v>
      </x:c>
      <x:c r="W24" t="str"/>
    </x:row>
    <x:row r="25" ht="32" customHeight="1">
      <x:c r="A25" t="str">
        <x:v>36.624.902/0001-46</x:v>
      </x:c>
      <x:c r="B25" t="str">
        <x:v>COSTELARIA E PETISCARIA O RANCHO</x:v>
      </x:c>
      <x:c r="C25" t="str">
        <x:v>Maringa</x:v>
      </x:c>
      <x:c r="D25" t="str">
        <x:v>ME</x:v>
      </x:c>
      <x:c r="E25" t="n">
        <x:v>0</x:v>
      </x:c>
      <x:c r="F25" s="10" t="str">
        <x:v>DE R$ 500 MIL ATÉ R$ 1 MM</x:v>
      </x:c>
      <x:c r="G25" s="10" t="str">
        <x:v>Indefinido | atendimento</x:v>
      </x:c>
      <x:c r="H25" s="10" t="str">
        <x:v>Não inferir demanda no WhatsApp apenas pelo CNAE.</x:v>
      </x:c>
      <x:c r="I25" s="10" t="str">
        <x:v>P3 | avaliar</x:v>
      </x:c>
      <x:c r="J25" s="10" t="str">
        <x:v>Quantos pedidos começam no WhatsApp/dia, e quantos são concluídos?</x:v>
      </x:c>
      <x:c r="K25" s="10" t="str"/>
      <x:c r="L25" s="12"/>
      <x:c r="M25" s="12"/>
      <x:c r="N25" s="12"/>
      <x:c r="O25" s="12"/>
      <x:c r="P25" s="12"/>
      <x:c r="Q25" s="12"/>
      <x:c r="R25" s="14" t="n">
        <x:f>ROUND(COUNT(L25:Q25)/6*100,0)</x:f>
        <x:v>0</x:v>
      </x:c>
      <x:c r="S25" s="14" t="str">
        <x:f>IF(COUNT(L25:Q25)&lt;6,"A validar",ROUND(SUMPRODUCT(L25:Q25,'Motor de Score'!$B$7:$G$7)/5,0))</x:f>
        <x:v>A validar</x:v>
      </x:c>
      <x:c r="T25" s="14" t="str">
        <x:f>IF(COUNT(L25:Q25)&lt;6,"Não qualificado",IF(S25&gt;=75,"Fit alto",IF(S25&gt;=55,"Fit médio","Fit baixo")))</x:f>
        <x:v>Não qualificado</x:v>
      </x:c>
      <x:c r="U25" t="str"/>
      <x:c r="V25" t="str">
        <x:v>Não iniciado</x:v>
      </x:c>
      <x:c r="W25" t="str"/>
    </x:row>
    <x:row r="26" ht="32" customHeight="1">
      <x:c r="A26" t="str">
        <x:v>37.021.014/0001-00</x:v>
      </x:c>
      <x:c r="B26" t="str">
        <x:v>SBR ADMINISTRADORA DE BENS</x:v>
      </x:c>
      <x:c r="C26" t="str">
        <x:v>Maringa</x:v>
      </x:c>
      <x:c r="D26" t="str">
        <x:v>DEMAIS</x:v>
      </x:c>
      <x:c r="E26" t="n">
        <x:v>0</x:v>
      </x:c>
      <x:c r="F26" s="10" t="str">
        <x:v>DE R$ 1 MM ATÉ R$ 2 MM</x:v>
      </x:c>
      <x:c r="G26" s="10" t="str">
        <x:v>Indefinido | atendimento</x:v>
      </x:c>
      <x:c r="H26" s="10" t="str">
        <x:v>Não inferir demanda no WhatsApp apenas pelo CNAE.</x:v>
      </x:c>
      <x:c r="I26" s="10" t="str">
        <x:v>P3 | avaliar</x:v>
      </x:c>
      <x:c r="J26" s="10" t="str">
        <x:v>Quantos pedidos começam no WhatsApp/dia, e quantos são concluídos?</x:v>
      </x:c>
      <x:c r="K26" s="10" t="str"/>
      <x:c r="L26" s="12"/>
      <x:c r="M26" s="12"/>
      <x:c r="N26" s="12"/>
      <x:c r="O26" s="12"/>
      <x:c r="P26" s="12"/>
      <x:c r="Q26" s="12"/>
      <x:c r="R26" s="14" t="n">
        <x:f>ROUND(COUNT(L26:Q26)/6*100,0)</x:f>
        <x:v>0</x:v>
      </x:c>
      <x:c r="S26" s="14" t="str">
        <x:f>IF(COUNT(L26:Q26)&lt;6,"A validar",ROUND(SUMPRODUCT(L26:Q26,'Motor de Score'!$B$7:$G$7)/5,0))</x:f>
        <x:v>A validar</x:v>
      </x:c>
      <x:c r="T26" s="14" t="str">
        <x:f>IF(COUNT(L26:Q26)&lt;6,"Não qualificado",IF(S26&gt;=75,"Fit alto",IF(S26&gt;=55,"Fit médio","Fit baixo")))</x:f>
        <x:v>Não qualificado</x:v>
      </x:c>
      <x:c r="U26" t="str"/>
      <x:c r="V26" t="str">
        <x:v>Não iniciado</x:v>
      </x:c>
      <x:c r="W26" t="str"/>
    </x:row>
    <x:row r="27" ht="32" customHeight="1">
      <x:c r="A27" t="str">
        <x:v>37.239.369/0001-61</x:v>
      </x:c>
      <x:c r="B27" t="str">
        <x:v>M J LANCHES</x:v>
      </x:c>
      <x:c r="C27" t="str">
        <x:v>Cianorte</x:v>
      </x:c>
      <x:c r="D27" t="str">
        <x:v>ME</x:v>
      </x:c>
      <x:c r="E27" t="n">
        <x:v>0</x:v>
      </x:c>
      <x:c r="F27" s="10" t="str">
        <x:v>DE R$ 50 MIL ATÉ R$ 100 MIL</x:v>
      </x:c>
      <x:c r="G27" s="10" t="str">
        <x:v>Pedidos | hipótese pelo segmento</x:v>
      </x:c>
      <x:c r="H27" s="10" t="str">
        <x:v>Nome/CNAE sugerem possível canal de pedidos; participação WhatsApp não verificada.</x:v>
      </x:c>
      <x:c r="I27" s="10" t="str">
        <x:v>P2 | canal</x:v>
      </x:c>
      <x:c r="J27" s="10" t="str">
        <x:v>Quantos pedidos começam no WhatsApp/dia, e quantos são concluídos?</x:v>
      </x:c>
      <x:c r="K27" s="10" t="str"/>
      <x:c r="L27" s="12"/>
      <x:c r="M27" s="12"/>
      <x:c r="N27" s="12"/>
      <x:c r="O27" s="12"/>
      <x:c r="P27" s="12"/>
      <x:c r="Q27" s="12"/>
      <x:c r="R27" s="14" t="n">
        <x:f>ROUND(COUNT(L27:Q27)/6*100,0)</x:f>
        <x:v>0</x:v>
      </x:c>
      <x:c r="S27" s="14" t="str">
        <x:f>IF(COUNT(L27:Q27)&lt;6,"A validar",ROUND(SUMPRODUCT(L27:Q27,'Motor de Score'!$B$7:$G$7)/5,0))</x:f>
        <x:v>A validar</x:v>
      </x:c>
      <x:c r="T27" s="14" t="str">
        <x:f>IF(COUNT(L27:Q27)&lt;6,"Não qualificado",IF(S27&gt;=75,"Fit alto",IF(S27&gt;=55,"Fit médio","Fit baixo")))</x:f>
        <x:v>Não qualificado</x:v>
      </x:c>
      <x:c r="U27" t="str"/>
      <x:c r="V27" t="str">
        <x:v>Não iniciado</x:v>
      </x:c>
      <x:c r="W27" t="str"/>
    </x:row>
    <x:row r="28" ht="32" customHeight="1">
      <x:c r="A28" t="str">
        <x:v>37.907.432/0001-90</x:v>
      </x:c>
      <x:c r="B28" t="str">
        <x:v>REI DA PIZZA</x:v>
      </x:c>
      <x:c r="C28" t="str">
        <x:v>Maringa</x:v>
      </x:c>
      <x:c r="D28" t="str">
        <x:v>ME</x:v>
      </x:c>
      <x:c r="E28" t="n">
        <x:v>0</x:v>
      </x:c>
      <x:c r="F28" s="10" t="str">
        <x:v>DE R$ 500 MIL ATÉ R$ 1 MM</x:v>
      </x:c>
      <x:c r="G28" s="10" t="str">
        <x:v>Pedidos | hipótese pelo segmento</x:v>
      </x:c>
      <x:c r="H28" s="10" t="str">
        <x:v>Nome/CNAE sugerem possível canal de pedidos; participação WhatsApp não verificada.</x:v>
      </x:c>
      <x:c r="I28" s="10" t="str">
        <x:v>P2 | canal</x:v>
      </x:c>
      <x:c r="J28" s="10" t="str">
        <x:v>Quantos pedidos começam no WhatsApp/dia, e quantos são concluídos?</x:v>
      </x:c>
      <x:c r="K28" s="10" t="str"/>
      <x:c r="L28" s="12"/>
      <x:c r="M28" s="12"/>
      <x:c r="N28" s="12"/>
      <x:c r="O28" s="12"/>
      <x:c r="P28" s="12"/>
      <x:c r="Q28" s="12"/>
      <x:c r="R28" s="14" t="n">
        <x:f>ROUND(COUNT(L28:Q28)/6*100,0)</x:f>
        <x:v>0</x:v>
      </x:c>
      <x:c r="S28" s="14" t="str">
        <x:f>IF(COUNT(L28:Q28)&lt;6,"A validar",ROUND(SUMPRODUCT(L28:Q28,'Motor de Score'!$B$7:$G$7)/5,0))</x:f>
        <x:v>A validar</x:v>
      </x:c>
      <x:c r="T28" s="14" t="str">
        <x:f>IF(COUNT(L28:Q28)&lt;6,"Não qualificado",IF(S28&gt;=75,"Fit alto",IF(S28&gt;=55,"Fit médio","Fit baixo")))</x:f>
        <x:v>Não qualificado</x:v>
      </x:c>
      <x:c r="U28" t="str"/>
      <x:c r="V28" t="str">
        <x:v>Não iniciado</x:v>
      </x:c>
      <x:c r="W28" t="str"/>
    </x:row>
    <x:row r="29" ht="32" customHeight="1">
      <x:c r="A29" t="str">
        <x:v>38.036.177/0001-10</x:v>
      </x:c>
      <x:c r="B29" t="str">
        <x:v>PIZZARIA NICE DELIVERY</x:v>
      </x:c>
      <x:c r="C29" t="str">
        <x:v>Maringa</x:v>
      </x:c>
      <x:c r="D29" t="str">
        <x:v>ME</x:v>
      </x:c>
      <x:c r="E29" t="n">
        <x:v>0</x:v>
      </x:c>
      <x:c r="F29" s="10" t="str">
        <x:v>DE R$ 1 MM ATÉ R$ 2 MM</x:v>
      </x:c>
      <x:c r="G29" s="10" t="str">
        <x:v>Pedidos | delivery explícito</x:v>
      </x:c>
      <x:c r="H29" s="10" t="str">
        <x:v>WhatsApp de pedidos listado em diretório público.</x:v>
      </x:c>
      <x:c r="I29" s="10" t="str">
        <x:v>P1 | pesquisa</x:v>
      </x:c>
      <x:c r="J29" s="10" t="str">
        <x:v>Quantos pedidos começam no WhatsApp/dia, e quantos são concluídos?</x:v>
      </x:c>
      <x:c r="K29" s="10" t="str">
        <x:v>https://estabelecimentos.maringa.com/delivery</x:v>
      </x:c>
      <x:c r="L29" s="12"/>
      <x:c r="M29" s="12"/>
      <x:c r="N29" s="12"/>
      <x:c r="O29" s="12"/>
      <x:c r="P29" s="12"/>
      <x:c r="Q29" s="12"/>
      <x:c r="R29" s="14" t="n">
        <x:f>ROUND(COUNT(L29:Q29)/6*100,0)</x:f>
        <x:v>0</x:v>
      </x:c>
      <x:c r="S29" s="14" t="str">
        <x:f>IF(COUNT(L29:Q29)&lt;6,"A validar",ROUND(SUMPRODUCT(L29:Q29,'Motor de Score'!$B$7:$G$7)/5,0))</x:f>
        <x:v>A validar</x:v>
      </x:c>
      <x:c r="T29" s="14" t="str">
        <x:f>IF(COUNT(L29:Q29)&lt;6,"Não qualificado",IF(S29&gt;=75,"Fit alto",IF(S29&gt;=55,"Fit médio","Fit baixo")))</x:f>
        <x:v>Não qualificado</x:v>
      </x:c>
      <x:c r="U29" t="str">
        <x:v>Diretório registra WhatsApp para pedido; medir resposta em horário aberto e % pedidos por esse canal.</x:v>
      </x:c>
      <x:c r="V29" t="str">
        <x:v>Não iniciado</x:v>
      </x:c>
      <x:c r="W29" t="str"/>
    </x:row>
    <x:row r="30" ht="32" customHeight="1">
      <x:c r="A30" t="str">
        <x:v>38.545.699/0001-48</x:v>
      </x:c>
      <x:c r="B30" t="str">
        <x:v>PIZZERIA DA PRACA</x:v>
      </x:c>
      <x:c r="C30" t="str">
        <x:v>Maringa</x:v>
      </x:c>
      <x:c r="D30" t="str">
        <x:v>ME</x:v>
      </x:c>
      <x:c r="E30" t="n">
        <x:v>0</x:v>
      </x:c>
      <x:c r="F30" s="10" t="str">
        <x:v>ATÉ R$ 50 MIL</x:v>
      </x:c>
      <x:c r="G30" s="10" t="str">
        <x:v>Pedidos | pizzaria a validar</x:v>
      </x:c>
      <x:c r="H30" s="10" t="str">
        <x:v>Usuário relata falta de automação; sem evidência de demanda.</x:v>
      </x:c>
      <x:c r="I30" s="10" t="str">
        <x:v>P2 | medir volume</x:v>
      </x:c>
      <x:c r="J30" s="10" t="str">
        <x:v>Quantos pedidos começam no WhatsApp/dia, e quantos são concluídos?</x:v>
      </x:c>
      <x:c r="K30" s="10" t="str"/>
      <x:c r="L30" s="12"/>
      <x:c r="M30" s="12"/>
      <x:c r="N30" s="12"/>
      <x:c r="O30" s="12"/>
      <x:c r="P30" s="12"/>
      <x:c r="Q30" s="12"/>
      <x:c r="R30" s="14" t="n">
        <x:f>ROUND(COUNT(L30:Q30)/6*100,0)</x:f>
        <x:v>0</x:v>
      </x:c>
      <x:c r="S30" s="14" t="str">
        <x:f>IF(COUNT(L30:Q30)&lt;6,"A validar",ROUND(SUMPRODUCT(L30:Q30,'Motor de Score'!$B$7:$G$7)/5,0))</x:f>
        <x:v>A validar</x:v>
      </x:c>
      <x:c r="T30" s="14" t="str">
        <x:f>IF(COUNT(L30:Q30)&lt;6,"Não qualificado",IF(S30&gt;=75,"Fit alto",IF(S30&gt;=55,"Fit médio","Fit baixo")))</x:f>
        <x:v>Não qualificado</x:v>
      </x:c>
      <x:c r="U30" t="str"/>
      <x:c r="V30" t="str">
        <x:v>Não iniciado</x:v>
      </x:c>
      <x:c r="W30" t="str"/>
    </x:row>
    <x:row r="31" ht="32" customHeight="1">
      <x:c r="A31" t="str">
        <x:v>41.480.147/0001-03</x:v>
      </x:c>
      <x:c r="B31" t="str">
        <x:v>RESTAURANTE E PIZZARIA MK</x:v>
      </x:c>
      <x:c r="C31" t="str">
        <x:v>Maringa</x:v>
      </x:c>
      <x:c r="D31" t="str">
        <x:v>ME</x:v>
      </x:c>
      <x:c r="E31" t="n">
        <x:v>0</x:v>
      </x:c>
      <x:c r="F31" s="10" t="str">
        <x:v>ATÉ R$ 50 MIL</x:v>
      </x:c>
      <x:c r="G31" s="10" t="str">
        <x:v>Indefinido | reforma</x:v>
      </x:c>
      <x:c r="H31" s="10" t="str">
        <x:v>Usuário informou fechamento temporário para reforma.</x:v>
      </x:c>
      <x:c r="I31" s="10" t="str">
        <x:v>Pausar</x:v>
      </x:c>
      <x:c r="J31" s="10" t="str">
        <x:v>Confirmar reabertura antes de contato.</x:v>
      </x:c>
      <x:c r="K31" s="10" t="str"/>
      <x:c r="L31" s="12"/>
      <x:c r="M31" s="12"/>
      <x:c r="N31" s="12"/>
      <x:c r="O31" s="12"/>
      <x:c r="P31" s="12"/>
      <x:c r="Q31" s="12"/>
      <x:c r="R31" s="14" t="n">
        <x:f>ROUND(COUNT(L31:Q31)/6*100,0)</x:f>
        <x:v>0</x:v>
      </x:c>
      <x:c r="S31" s="14" t="str">
        <x:f>IF(COUNT(L31:Q31)&lt;6,"A validar",ROUND(SUMPRODUCT(L31:Q31,'Motor de Score'!$B$7:$G$7)/5,0))</x:f>
        <x:v>A validar</x:v>
      </x:c>
      <x:c r="T31" s="14" t="str">
        <x:f>IF(COUNT(L31:Q31)&lt;6,"Não qualificado",IF(S31&gt;=75,"Fit alto",IF(S31&gt;=55,"Fit médio","Fit baixo")))</x:f>
        <x:v>Não qualificado</x:v>
      </x:c>
      <x:c r="U31" t="str"/>
      <x:c r="V31" t="str">
        <x:v>Não iniciado</x:v>
      </x:c>
      <x:c r="W31" t="str"/>
    </x:row>
    <x:row r="32" ht="32" customHeight="1">
      <x:c r="A32" t="str">
        <x:v>44.913.147/0001-48</x:v>
      </x:c>
      <x:c r="B32" t="str">
        <x:v>THE BOOT PIZZA BAR</x:v>
      </x:c>
      <x:c r="C32" t="str">
        <x:v>Maringa</x:v>
      </x:c>
      <x:c r="D32" t="str">
        <x:v>ME</x:v>
      </x:c>
      <x:c r="E32" t="n">
        <x:v>0</x:v>
      </x:c>
      <x:c r="F32" s="10" t="str">
        <x:v>ATÉ R$ 50 MIL</x:v>
      </x:c>
      <x:c r="G32" s="10" t="str">
        <x:v>Pedidos | hipótese pelo segmento</x:v>
      </x:c>
      <x:c r="H32" s="10" t="str">
        <x:v>Nome/CNAE sugerem possível canal de pedidos; participação WhatsApp não verificada.</x:v>
      </x:c>
      <x:c r="I32" s="10" t="str">
        <x:v>P2 | canal</x:v>
      </x:c>
      <x:c r="J32" s="10" t="str">
        <x:v>Quantos pedidos começam no WhatsApp/dia, e quantos são concluídos?</x:v>
      </x:c>
      <x:c r="K32" s="10" t="str"/>
      <x:c r="L32" s="12"/>
      <x:c r="M32" s="12"/>
      <x:c r="N32" s="12"/>
      <x:c r="O32" s="12"/>
      <x:c r="P32" s="12"/>
      <x:c r="Q32" s="12"/>
      <x:c r="R32" s="14" t="n">
        <x:f>ROUND(COUNT(L32:Q32)/6*100,0)</x:f>
        <x:v>0</x:v>
      </x:c>
      <x:c r="S32" s="14" t="str">
        <x:f>IF(COUNT(L32:Q32)&lt;6,"A validar",ROUND(SUMPRODUCT(L32:Q32,'Motor de Score'!$B$7:$G$7)/5,0))</x:f>
        <x:v>A validar</x:v>
      </x:c>
      <x:c r="T32" s="14" t="str">
        <x:f>IF(COUNT(L32:Q32)&lt;6,"Não qualificado",IF(S32&gt;=75,"Fit alto",IF(S32&gt;=55,"Fit médio","Fit baixo")))</x:f>
        <x:v>Não qualificado</x:v>
      </x:c>
      <x:c r="U32" t="str"/>
      <x:c r="V32" t="str">
        <x:v>Não iniciado</x:v>
      </x:c>
      <x:c r="W32" t="str"/>
    </x:row>
    <x:row r="33" ht="32" customHeight="1">
      <x:c r="A33" t="str">
        <x:v>44.930.882/0001-60</x:v>
      </x:c>
      <x:c r="B33" t="str">
        <x:v>R2 LANCHONETE E ARENA SOCIETY</x:v>
      </x:c>
      <x:c r="C33" t="str">
        <x:v>Maringa</x:v>
      </x:c>
      <x:c r="D33" t="str">
        <x:v>ME</x:v>
      </x:c>
      <x:c r="E33" t="n">
        <x:v>0</x:v>
      </x:c>
      <x:c r="F33" s="10" t="str">
        <x:v>DE R$ 100 MIL ATÉ R$ 250 MIL</x:v>
      </x:c>
      <x:c r="G33" s="10" t="str">
        <x:v>Pedidos | hipótese pelo segmento</x:v>
      </x:c>
      <x:c r="H33" s="10" t="str">
        <x:v>Nome/CNAE sugerem possível canal de pedidos; participação WhatsApp não verificada.</x:v>
      </x:c>
      <x:c r="I33" s="10" t="str">
        <x:v>P2 | canal</x:v>
      </x:c>
      <x:c r="J33" s="10" t="str">
        <x:v>Quantos pedidos começam no WhatsApp/dia, e quantos são concluídos?</x:v>
      </x:c>
      <x:c r="K33" s="10" t="str"/>
      <x:c r="L33" s="12"/>
      <x:c r="M33" s="12"/>
      <x:c r="N33" s="12"/>
      <x:c r="O33" s="12"/>
      <x:c r="P33" s="12"/>
      <x:c r="Q33" s="12"/>
      <x:c r="R33" s="14" t="n">
        <x:f>ROUND(COUNT(L33:Q33)/6*100,0)</x:f>
        <x:v>0</x:v>
      </x:c>
      <x:c r="S33" s="14" t="str">
        <x:f>IF(COUNT(L33:Q33)&lt;6,"A validar",ROUND(SUMPRODUCT(L33:Q33,'Motor de Score'!$B$7:$G$7)/5,0))</x:f>
        <x:v>A validar</x:v>
      </x:c>
      <x:c r="T33" s="14" t="str">
        <x:f>IF(COUNT(L33:Q33)&lt;6,"Não qualificado",IF(S33&gt;=75,"Fit alto",IF(S33&gt;=55,"Fit médio","Fit baixo")))</x:f>
        <x:v>Não qualificado</x:v>
      </x:c>
      <x:c r="U33" t="str"/>
      <x:c r="V33" t="str">
        <x:v>Não iniciado</x:v>
      </x:c>
      <x:c r="W33" t="str"/>
    </x:row>
    <x:row r="34" ht="32" customHeight="1">
      <x:c r="A34" t="str">
        <x:v>45.742.568/0001-16</x:v>
      </x:c>
      <x:c r="B34" t="str">
        <x:v>CAFETERIA E CHOCOLATARIA LUGANO CIANORTE</x:v>
      </x:c>
      <x:c r="C34" t="str">
        <x:v>Cianorte</x:v>
      </x:c>
      <x:c r="D34" t="str">
        <x:v>ME</x:v>
      </x:c>
      <x:c r="E34" t="n">
        <x:v>0</x:v>
      </x:c>
      <x:c r="F34" s="10" t="str">
        <x:v>DE R$ 250 MIL ATÉ R$ 500 MIL</x:v>
      </x:c>
      <x:c r="G34" s="10" t="str">
        <x:v>Indefinido | atendimento</x:v>
      </x:c>
      <x:c r="H34" s="10" t="str">
        <x:v>Não inferir demanda no WhatsApp apenas pelo CNAE.</x:v>
      </x:c>
      <x:c r="I34" s="10" t="str">
        <x:v>P3 | avaliar</x:v>
      </x:c>
      <x:c r="J34" s="10" t="str">
        <x:v>Quantos pedidos começam no WhatsApp/dia, e quantos são concluídos?</x:v>
      </x:c>
      <x:c r="K34" s="10" t="str"/>
      <x:c r="L34" s="12"/>
      <x:c r="M34" s="12"/>
      <x:c r="N34" s="12"/>
      <x:c r="O34" s="12"/>
      <x:c r="P34" s="12"/>
      <x:c r="Q34" s="12"/>
      <x:c r="R34" s="14" t="n">
        <x:f>ROUND(COUNT(L34:Q34)/6*100,0)</x:f>
        <x:v>0</x:v>
      </x:c>
      <x:c r="S34" s="14" t="str">
        <x:f>IF(COUNT(L34:Q34)&lt;6,"A validar",ROUND(SUMPRODUCT(L34:Q34,'Motor de Score'!$B$7:$G$7)/5,0))</x:f>
        <x:v>A validar</x:v>
      </x:c>
      <x:c r="T34" s="14" t="str">
        <x:f>IF(COUNT(L34:Q34)&lt;6,"Não qualificado",IF(S34&gt;=75,"Fit alto",IF(S34&gt;=55,"Fit médio","Fit baixo")))</x:f>
        <x:v>Não qualificado</x:v>
      </x:c>
      <x:c r="U34" t="str"/>
      <x:c r="V34" t="str">
        <x:v>Não iniciado</x:v>
      </x:c>
      <x:c r="W34" t="str"/>
    </x:row>
    <x:row r="35" ht="32" customHeight="1">
      <x:c r="A35" t="str">
        <x:v>46.180.589/0001-58</x:v>
      </x:c>
      <x:c r="B35" t="str">
        <x:v>PIZZA PRIME MARINGA</x:v>
      </x:c>
      <x:c r="C35" t="str">
        <x:v>Maringa</x:v>
      </x:c>
      <x:c r="D35" t="str">
        <x:v>ME</x:v>
      </x:c>
      <x:c r="E35" t="n">
        <x:v>0</x:v>
      </x:c>
      <x:c r="F35" s="10" t="str">
        <x:v>DE R$ 250 MIL ATÉ R$ 500 MIL</x:v>
      </x:c>
      <x:c r="G35" s="10" t="str">
        <x:v>Pedidos | validar autonomia da unidade</x:v>
      </x:c>
      <x:c r="H35" s="10" t="str">
        <x:v>Franquia/rede: governança pode limitar implantação.</x:v>
      </x:c>
      <x:c r="I35" s="10" t="str">
        <x:v>P2 | autonomia</x:v>
      </x:c>
      <x:c r="J35" s="10" t="str">
        <x:v>Quem pode contratar solução fora do padrão da marca?</x:v>
      </x:c>
      <x:c r="K35" s="10" t="str">
        <x:v>https://www.ifood.com.br/delivery/maringa-pr/pizza-prime---maringa-zona-7/b96a3130-8bf0-4439-a980-e4ab9478a62e</x:v>
      </x:c>
      <x:c r="L35" s="12"/>
      <x:c r="M35" s="12"/>
      <x:c r="N35" s="12"/>
      <x:c r="O35" s="12"/>
      <x:c r="P35" s="12"/>
      <x:c r="Q35" s="12"/>
      <x:c r="R35" s="14" t="n">
        <x:f>ROUND(COUNT(L35:Q35)/6*100,0)</x:f>
        <x:v>0</x:v>
      </x:c>
      <x:c r="S35" s="14" t="str">
        <x:f>IF(COUNT(L35:Q35)&lt;6,"A validar",ROUND(SUMPRODUCT(L35:Q35,'Motor de Score'!$B$7:$G$7)/5,0))</x:f>
        <x:v>A validar</x:v>
      </x:c>
      <x:c r="T35" s="14" t="str">
        <x:f>IF(COUNT(L35:Q35)&lt;6,"Não qualificado",IF(S35&gt;=75,"Fit alto",IF(S35&gt;=55,"Fit médio","Fit baixo")))</x:f>
        <x:v>Não qualificado</x:v>
      </x:c>
      <x:c r="U35" t="str"/>
      <x:c r="V35" t="str">
        <x:v>Não iniciado</x:v>
      </x:c>
      <x:c r="W35" t="str">
        <x:v>Marca de rede: verificar autoridade comercial da unidade e integração com sistemas oficiais.</x:v>
      </x:c>
    </x:row>
    <x:row r="36" ht="32" customHeight="1">
      <x:c r="A36" t="str">
        <x:v>46.256.287/0001-16</x:v>
      </x:c>
      <x:c r="B36" t="str">
        <x:v>FRANGO NO POTE MARINGA</x:v>
      </x:c>
      <x:c r="C36" t="str">
        <x:v>Maringa</x:v>
      </x:c>
      <x:c r="D36" t="str">
        <x:v>ME</x:v>
      </x:c>
      <x:c r="E36" t="n">
        <x:v>0</x:v>
      </x:c>
      <x:c r="F36" s="10" t="str">
        <x:v>DE R$ 100 MIL ATÉ R$ 250 MIL</x:v>
      </x:c>
      <x:c r="G36" s="10" t="str">
        <x:v>Pedidos | hipótese pelo segmento</x:v>
      </x:c>
      <x:c r="H36" s="10" t="str">
        <x:v>Nome/CNAE sugerem possível canal de pedidos; participação WhatsApp não verificada.</x:v>
      </x:c>
      <x:c r="I36" s="10" t="str">
        <x:v>P2 | canal</x:v>
      </x:c>
      <x:c r="J36" s="10" t="str">
        <x:v>Quantos pedidos começam no WhatsApp/dia, e quantos são concluídos?</x:v>
      </x:c>
      <x:c r="K36" s="10" t="str"/>
      <x:c r="L36" s="12"/>
      <x:c r="M36" s="12"/>
      <x:c r="N36" s="12"/>
      <x:c r="O36" s="12"/>
      <x:c r="P36" s="12"/>
      <x:c r="Q36" s="12"/>
      <x:c r="R36" s="14" t="n">
        <x:f>ROUND(COUNT(L36:Q36)/6*100,0)</x:f>
        <x:v>0</x:v>
      </x:c>
      <x:c r="S36" s="14" t="str">
        <x:f>IF(COUNT(L36:Q36)&lt;6,"A validar",ROUND(SUMPRODUCT(L36:Q36,'Motor de Score'!$B$7:$G$7)/5,0))</x:f>
        <x:v>A validar</x:v>
      </x:c>
      <x:c r="T36" s="14" t="str">
        <x:f>IF(COUNT(L36:Q36)&lt;6,"Não qualificado",IF(S36&gt;=75,"Fit alto",IF(S36&gt;=55,"Fit médio","Fit baixo")))</x:f>
        <x:v>Não qualificado</x:v>
      </x:c>
      <x:c r="U36" t="str"/>
      <x:c r="V36" t="str">
        <x:v>Não iniciado</x:v>
      </x:c>
      <x:c r="W36" t="str"/>
    </x:row>
    <x:row r="37" ht="32" customHeight="1">
      <x:c r="A37" t="str">
        <x:v>46.720.248/0001-28</x:v>
      </x:c>
      <x:c r="B37" t="str">
        <x:v>MATRIARCA PUB</x:v>
      </x:c>
      <x:c r="C37" t="str">
        <x:v>Maringa</x:v>
      </x:c>
      <x:c r="D37" t="str">
        <x:v>ME</x:v>
      </x:c>
      <x:c r="E37" t="n">
        <x:v>0</x:v>
      </x:c>
      <x:c r="F37" s="10" t="str">
        <x:v>DE R$ 250 MIL ATÉ R$ 500 MIL</x:v>
      </x:c>
      <x:c r="G37" s="10" t="str">
        <x:v>Presencial/híbrido | eventos</x:v>
      </x:c>
      <x:c r="H37" s="10" t="str">
        <x:v>Testar reservas, eventos, grupos e campanhas de recompra.</x:v>
      </x:c>
      <x:c r="I37" s="10" t="str">
        <x:v>P2 | outra oferta</x:v>
      </x:c>
      <x:c r="J37" s="10" t="str">
        <x:v>Quantas reservas, eventos ou orçamentos iniciam pelo WhatsApp/mês?</x:v>
      </x:c>
      <x:c r="K37" s="10" t="str"/>
      <x:c r="L37" s="12"/>
      <x:c r="M37" s="12"/>
      <x:c r="N37" s="12"/>
      <x:c r="O37" s="12"/>
      <x:c r="P37" s="12"/>
      <x:c r="Q37" s="12"/>
      <x:c r="R37" s="14" t="n">
        <x:f>ROUND(COUNT(L37:Q37)/6*100,0)</x:f>
        <x:v>0</x:v>
      </x:c>
      <x:c r="S37" s="14" t="str">
        <x:f>IF(COUNT(L37:Q37)&lt;6,"A validar",ROUND(SUMPRODUCT(L37:Q37,'Motor de Score'!$B$7:$G$7)/5,0))</x:f>
        <x:v>A validar</x:v>
      </x:c>
      <x:c r="T37" s="14" t="str">
        <x:f>IF(COUNT(L37:Q37)&lt;6,"Não qualificado",IF(S37&gt;=75,"Fit alto",IF(S37&gt;=55,"Fit médio","Fit baixo")))</x:f>
        <x:v>Não qualificado</x:v>
      </x:c>
      <x:c r="U37" t="str"/>
      <x:c r="V37" t="str">
        <x:v>Não iniciado</x:v>
      </x:c>
      <x:c r="W37" t="str"/>
    </x:row>
    <x:row r="38" ht="32" customHeight="1">
      <x:c r="A38" t="str">
        <x:v>47.081.349/0001-69</x:v>
      </x:c>
      <x:c r="B38" t="str">
        <x:v>ESTACAO BOLICHE</x:v>
      </x:c>
      <x:c r="C38" t="str">
        <x:v>Maringa</x:v>
      </x:c>
      <x:c r="D38" t="str">
        <x:v>ME</x:v>
      </x:c>
      <x:c r="E38" t="n">
        <x:v>0</x:v>
      </x:c>
      <x:c r="F38" s="10" t="str">
        <x:v>DE R$ 2 MM ATÉ R$ 5 MM</x:v>
      </x:c>
      <x:c r="G38" s="10" t="str">
        <x:v>Presencial/híbrido | eventos</x:v>
      </x:c>
      <x:c r="H38" s="10" t="str">
        <x:v>Testar reservas, eventos, grupos e campanhas de recompra.</x:v>
      </x:c>
      <x:c r="I38" s="10" t="str">
        <x:v>P2 | outra oferta</x:v>
      </x:c>
      <x:c r="J38" s="10" t="str">
        <x:v>Quantas reservas, eventos ou orçamentos iniciam pelo WhatsApp/mês?</x:v>
      </x:c>
      <x:c r="K38" s="10" t="str"/>
      <x:c r="L38" s="12"/>
      <x:c r="M38" s="12"/>
      <x:c r="N38" s="12"/>
      <x:c r="O38" s="12"/>
      <x:c r="P38" s="12"/>
      <x:c r="Q38" s="12"/>
      <x:c r="R38" s="14" t="n">
        <x:f>ROUND(COUNT(L38:Q38)/6*100,0)</x:f>
        <x:v>0</x:v>
      </x:c>
      <x:c r="S38" s="14" t="str">
        <x:f>IF(COUNT(L38:Q38)&lt;6,"A validar",ROUND(SUMPRODUCT(L38:Q38,'Motor de Score'!$B$7:$G$7)/5,0))</x:f>
        <x:v>A validar</x:v>
      </x:c>
      <x:c r="T38" s="14" t="str">
        <x:f>IF(COUNT(L38:Q38)&lt;6,"Não qualificado",IF(S38&gt;=75,"Fit alto",IF(S38&gt;=55,"Fit médio","Fit baixo")))</x:f>
        <x:v>Não qualificado</x:v>
      </x:c>
      <x:c r="U38" t="str"/>
      <x:c r="V38" t="str">
        <x:v>Não iniciado</x:v>
      </x:c>
      <x:c r="W38" t="str"/>
    </x:row>
    <x:row r="39" ht="32" customHeight="1">
      <x:c r="A39" t="str">
        <x:v>48.925.346/0001-27</x:v>
      </x:c>
      <x:c r="B39" t="str">
        <x:v>TAMURA CAFE ESPECIAL</x:v>
      </x:c>
      <x:c r="C39" t="str">
        <x:v>Maringá</x:v>
      </x:c>
      <x:c r="D39" t="str">
        <x:v>ME</x:v>
      </x:c>
      <x:c r="E39" t="n">
        <x:v>0</x:v>
      </x:c>
      <x:c r="F39" s="10" t="str">
        <x:v>DE R$ 500 MIL ATÉ R$ 1 MM</x:v>
      </x:c>
      <x:c r="G39" s="10" t="str">
        <x:v>Indefinido | atendimento</x:v>
      </x:c>
      <x:c r="H39" s="10" t="str">
        <x:v>Não inferir demanda no WhatsApp apenas pelo CNAE.</x:v>
      </x:c>
      <x:c r="I39" s="10" t="str">
        <x:v>P3 | avaliar</x:v>
      </x:c>
      <x:c r="J39" s="10" t="str">
        <x:v>Quantos pedidos começam no WhatsApp/dia, e quantos são concluídos?</x:v>
      </x:c>
      <x:c r="K39" s="10" t="str"/>
      <x:c r="L39" s="12"/>
      <x:c r="M39" s="12"/>
      <x:c r="N39" s="12"/>
      <x:c r="O39" s="12"/>
      <x:c r="P39" s="12"/>
      <x:c r="Q39" s="12"/>
      <x:c r="R39" s="14" t="n">
        <x:f>ROUND(COUNT(L39:Q39)/6*100,0)</x:f>
        <x:v>0</x:v>
      </x:c>
      <x:c r="S39" s="14" t="str">
        <x:f>IF(COUNT(L39:Q39)&lt;6,"A validar",ROUND(SUMPRODUCT(L39:Q39,'Motor de Score'!$B$7:$G$7)/5,0))</x:f>
        <x:v>A validar</x:v>
      </x:c>
      <x:c r="T39" s="14" t="str">
        <x:f>IF(COUNT(L39:Q39)&lt;6,"Não qualificado",IF(S39&gt;=75,"Fit alto",IF(S39&gt;=55,"Fit médio","Fit baixo")))</x:f>
        <x:v>Não qualificado</x:v>
      </x:c>
      <x:c r="U39" t="str"/>
      <x:c r="V39" t="str">
        <x:v>Não iniciado</x:v>
      </x:c>
      <x:c r="W39" t="str"/>
    </x:row>
    <x:row r="40" ht="32" customHeight="1">
      <x:c r="A40" t="str">
        <x:v>49.387.523/0001-21</x:v>
      </x:c>
      <x:c r="B40" t="str">
        <x:v>DIVINA COSTELA LTDA</x:v>
      </x:c>
      <x:c r="C40" t="str">
        <x:v>Cianorte</x:v>
      </x:c>
      <x:c r="D40" t="str">
        <x:v>ME</x:v>
      </x:c>
      <x:c r="E40" t="n">
        <x:v>0</x:v>
      </x:c>
      <x:c r="F40" s="10" t="str">
        <x:v>DE R$ 100 MIL ATÉ R$ 250 MIL</x:v>
      </x:c>
      <x:c r="G40" s="10" t="str">
        <x:v>Indefinido | atendimento</x:v>
      </x:c>
      <x:c r="H40" s="10" t="str">
        <x:v>Não inferir demanda no WhatsApp apenas pelo CNAE.</x:v>
      </x:c>
      <x:c r="I40" s="10" t="str">
        <x:v>P3 | avaliar</x:v>
      </x:c>
      <x:c r="J40" s="10" t="str">
        <x:v>Quantos pedidos começam no WhatsApp/dia, e quantos são concluídos?</x:v>
      </x:c>
      <x:c r="K40" s="10" t="str"/>
      <x:c r="L40" s="12"/>
      <x:c r="M40" s="12"/>
      <x:c r="N40" s="12"/>
      <x:c r="O40" s="12"/>
      <x:c r="P40" s="12"/>
      <x:c r="Q40" s="12"/>
      <x:c r="R40" s="14" t="n">
        <x:f>ROUND(COUNT(L40:Q40)/6*100,0)</x:f>
        <x:v>0</x:v>
      </x:c>
      <x:c r="S40" s="14" t="str">
        <x:f>IF(COUNT(L40:Q40)&lt;6,"A validar",ROUND(SUMPRODUCT(L40:Q40,'Motor de Score'!$B$7:$G$7)/5,0))</x:f>
        <x:v>A validar</x:v>
      </x:c>
      <x:c r="T40" s="14" t="str">
        <x:f>IF(COUNT(L40:Q40)&lt;6,"Não qualificado",IF(S40&gt;=75,"Fit alto",IF(S40&gt;=55,"Fit médio","Fit baixo")))</x:f>
        <x:v>Não qualificado</x:v>
      </x:c>
      <x:c r="U40" t="str"/>
      <x:c r="V40" t="str">
        <x:v>Não iniciado</x:v>
      </x:c>
      <x:c r="W40" t="str"/>
    </x:row>
    <x:row r="41" ht="32" customHeight="1">
      <x:c r="A41" t="str">
        <x:v>51.416.346/0001-06</x:v>
      </x:c>
      <x:c r="B41" t="str">
        <x:v>TAKE AND GO PIZZARIA</x:v>
      </x:c>
      <x:c r="C41" t="str">
        <x:v>Maringa</x:v>
      </x:c>
      <x:c r="D41" t="str">
        <x:v>ME</x:v>
      </x:c>
      <x:c r="E41" t="n">
        <x:v>0</x:v>
      </x:c>
      <x:c r="F41" s="10" t="str">
        <x:v>DE R$ 250 MIL ATÉ R$ 500 MIL</x:v>
      </x:c>
      <x:c r="G41" s="10" t="str">
        <x:v>Pedidos | hipótese pelo segmento</x:v>
      </x:c>
      <x:c r="H41" s="10" t="str">
        <x:v>Nome/CNAE sugerem possível canal de pedidos; participação WhatsApp não verificada.</x:v>
      </x:c>
      <x:c r="I41" s="10" t="str">
        <x:v>P2 | canal</x:v>
      </x:c>
      <x:c r="J41" s="10" t="str">
        <x:v>Quantos pedidos começam no WhatsApp/dia, e quantos são concluídos?</x:v>
      </x:c>
      <x:c r="K41" s="10" t="str"/>
      <x:c r="L41" s="12"/>
      <x:c r="M41" s="12"/>
      <x:c r="N41" s="12"/>
      <x:c r="O41" s="12"/>
      <x:c r="P41" s="12"/>
      <x:c r="Q41" s="12"/>
      <x:c r="R41" s="14" t="n">
        <x:f>ROUND(COUNT(L41:Q41)/6*100,0)</x:f>
        <x:v>0</x:v>
      </x:c>
      <x:c r="S41" s="14" t="str">
        <x:f>IF(COUNT(L41:Q41)&lt;6,"A validar",ROUND(SUMPRODUCT(L41:Q41,'Motor de Score'!$B$7:$G$7)/5,0))</x:f>
        <x:v>A validar</x:v>
      </x:c>
      <x:c r="T41" s="14" t="str">
        <x:f>IF(COUNT(L41:Q41)&lt;6,"Não qualificado",IF(S41&gt;=75,"Fit alto",IF(S41&gt;=55,"Fit médio","Fit baixo")))</x:f>
        <x:v>Não qualificado</x:v>
      </x:c>
      <x:c r="U41" t="str"/>
      <x:c r="V41" t="str">
        <x:v>Não iniciado</x:v>
      </x:c>
      <x:c r="W41" t="str"/>
    </x:row>
    <x:row r="42" ht="32" customHeight="1">
      <x:c r="A42" t="str">
        <x:v>52.821.960/0001-16</x:v>
      </x:c>
      <x:c r="B42" t="str">
        <x:v>BURGER PERK</x:v>
      </x:c>
      <x:c r="C42" t="str">
        <x:v>Maringa</x:v>
      </x:c>
      <x:c r="D42" t="str">
        <x:v>ME</x:v>
      </x:c>
      <x:c r="E42" t="n">
        <x:v>0</x:v>
      </x:c>
      <x:c r="F42" s="10" t="str">
        <x:v>DE R$ 250 MIL ATÉ R$ 500 MIL</x:v>
      </x:c>
      <x:c r="G42" s="10" t="str">
        <x:v>Híbrido | hambúrguer + delivery</x:v>
      </x:c>
      <x:c r="H42" s="10" t="str">
        <x:v>Há perfis públicos com delivery; conferir correspondência CNPJ/endereço.</x:v>
      </x:c>
      <x:c r="I42" s="10" t="str">
        <x:v>P1 | pesquisa</x:v>
      </x:c>
      <x:c r="J42" s="10" t="str">
        <x:v>Quantos pedidos começam no WhatsApp/dia, e quantos são concluídos?</x:v>
      </x:c>
      <x:c r="K42" s="10" t="str">
        <x:v>https://www.ifood.com.br/delivery/maringa-pr/burger-perk-zona-02/fc5c73ff-48ce-4533-857a-4c8fb1e8cd0e</x:v>
      </x:c>
      <x:c r="L42" s="12"/>
      <x:c r="M42" s="12"/>
      <x:c r="N42" s="12"/>
      <x:c r="O42" s="12"/>
      <x:c r="P42" s="12"/>
      <x:c r="Q42" s="12"/>
      <x:c r="R42" s="14" t="n">
        <x:f>ROUND(COUNT(L42:Q42)/6*100,0)</x:f>
        <x:v>0</x:v>
      </x:c>
      <x:c r="S42" s="14" t="str">
        <x:f>IF(COUNT(L42:Q42)&lt;6,"A validar",ROUND(SUMPRODUCT(L42:Q42,'Motor de Score'!$B$7:$G$7)/5,0))</x:f>
        <x:v>A validar</x:v>
      </x:c>
      <x:c r="T42" s="14" t="str">
        <x:f>IF(COUNT(L42:Q42)&lt;6,"Não qualificado",IF(S42&gt;=75,"Fit alto",IF(S42&gt;=55,"Fit médio","Fit baixo")))</x:f>
        <x:v>Não qualificado</x:v>
      </x:c>
      <x:c r="U42" t="str"/>
      <x:c r="V42" t="str">
        <x:v>Não iniciado</x:v>
      </x:c>
      <x:c r="W42" t="str">
        <x:v>Cadastro: Rua Farmacêutico Luiz Andrade 653; perfil pesquisado aponta Rua Vereador Arlindo Planas 653. Confirmar.</x:v>
      </x:c>
    </x:row>
    <x:row r="43" ht="32" customHeight="1">
      <x:c r="A43" t="str">
        <x:v>53.938.339/0001-08</x:v>
      </x:c>
      <x:c r="B43" t="str">
        <x:v>PIZZARIA JACARE VERMELHO HERVAL</x:v>
      </x:c>
      <x:c r="C43" t="str">
        <x:v>Maringa</x:v>
      </x:c>
      <x:c r="D43" t="str">
        <x:v>EPP</x:v>
      </x:c>
      <x:c r="E43" t="n">
        <x:v>0</x:v>
      </x:c>
      <x:c r="F43" s="10" t="str">
        <x:v>DE R$ 50 MIL ATÉ R$ 100 MIL</x:v>
      </x:c>
      <x:c r="G43" s="10" t="str">
        <x:v>Pedidos | hipótese pelo segmento</x:v>
      </x:c>
      <x:c r="H43" s="10" t="str">
        <x:v>Nome/CNAE sugerem possível canal de pedidos; participação WhatsApp não verificada.</x:v>
      </x:c>
      <x:c r="I43" s="10" t="str">
        <x:v>P2 | canal</x:v>
      </x:c>
      <x:c r="J43" s="10" t="str">
        <x:v>Quantos pedidos começam no WhatsApp/dia, e quantos são concluídos?</x:v>
      </x:c>
      <x:c r="K43" s="10" t="str"/>
      <x:c r="L43" s="12"/>
      <x:c r="M43" s="12"/>
      <x:c r="N43" s="12"/>
      <x:c r="O43" s="12"/>
      <x:c r="P43" s="12"/>
      <x:c r="Q43" s="12"/>
      <x:c r="R43" s="14" t="n">
        <x:f>ROUND(COUNT(L43:Q43)/6*100,0)</x:f>
        <x:v>0</x:v>
      </x:c>
      <x:c r="S43" s="14" t="str">
        <x:f>IF(COUNT(L43:Q43)&lt;6,"A validar",ROUND(SUMPRODUCT(L43:Q43,'Motor de Score'!$B$7:$G$7)/5,0))</x:f>
        <x:v>A validar</x:v>
      </x:c>
      <x:c r="T43" s="14" t="str">
        <x:f>IF(COUNT(L43:Q43)&lt;6,"Não qualificado",IF(S43&gt;=75,"Fit alto",IF(S43&gt;=55,"Fit médio","Fit baixo")))</x:f>
        <x:v>Não qualificado</x:v>
      </x:c>
      <x:c r="U43" t="str"/>
      <x:c r="V43" t="str">
        <x:v>Não iniciado</x:v>
      </x:c>
      <x:c r="W43" t="str"/>
    </x:row>
    <x:row r="44" ht="32" customHeight="1">
      <x:c r="A44" t="str">
        <x:v>54.055.764/0001-03</x:v>
      </x:c>
      <x:c r="B44" t="str">
        <x:v>DONA OSIRES BAR E LANCHONETE</x:v>
      </x:c>
      <x:c r="C44" t="str">
        <x:v>Maringa</x:v>
      </x:c>
      <x:c r="D44" t="str">
        <x:v>ME</x:v>
      </x:c>
      <x:c r="E44" t="n">
        <x:v>0</x:v>
      </x:c>
      <x:c r="F44" s="10" t="str">
        <x:v>DE R$ 50 MIL ATÉ R$ 100 MIL</x:v>
      </x:c>
      <x:c r="G44" s="10" t="str">
        <x:v>Pedidos | hipótese pelo segmento</x:v>
      </x:c>
      <x:c r="H44" s="10" t="str">
        <x:v>Nome/CNAE sugerem possível canal de pedidos; participação WhatsApp não verificada.</x:v>
      </x:c>
      <x:c r="I44" s="10" t="str">
        <x:v>P2 | canal</x:v>
      </x:c>
      <x:c r="J44" s="10" t="str">
        <x:v>Quantos pedidos começam no WhatsApp/dia, e quantos são concluídos?</x:v>
      </x:c>
      <x:c r="K44" s="10" t="str"/>
      <x:c r="L44" s="12"/>
      <x:c r="M44" s="12"/>
      <x:c r="N44" s="12"/>
      <x:c r="O44" s="12"/>
      <x:c r="P44" s="12"/>
      <x:c r="Q44" s="12"/>
      <x:c r="R44" s="14" t="n">
        <x:f>ROUND(COUNT(L44:Q44)/6*100,0)</x:f>
        <x:v>0</x:v>
      </x:c>
      <x:c r="S44" s="14" t="str">
        <x:f>IF(COUNT(L44:Q44)&lt;6,"A validar",ROUND(SUMPRODUCT(L44:Q44,'Motor de Score'!$B$7:$G$7)/5,0))</x:f>
        <x:v>A validar</x:v>
      </x:c>
      <x:c r="T44" s="14" t="str">
        <x:f>IF(COUNT(L44:Q44)&lt;6,"Não qualificado",IF(S44&gt;=75,"Fit alto",IF(S44&gt;=55,"Fit médio","Fit baixo")))</x:f>
        <x:v>Não qualificado</x:v>
      </x:c>
      <x:c r="U44" t="str"/>
      <x:c r="V44" t="str">
        <x:v>Não iniciado</x:v>
      </x:c>
      <x:c r="W44" t="str"/>
    </x:row>
    <x:row r="45" ht="32" customHeight="1">
      <x:c r="A45" t="str">
        <x:v>55.527.145/0001-37</x:v>
      </x:c>
      <x:c r="B45" t="str">
        <x:v>PANELA DO DJALMA</x:v>
      </x:c>
      <x:c r="C45" t="str">
        <x:v>Cianorte</x:v>
      </x:c>
      <x:c r="D45" t="str">
        <x:v>ME</x:v>
      </x:c>
      <x:c r="E45" t="n">
        <x:v>0</x:v>
      </x:c>
      <x:c r="F45" s="10" t="str">
        <x:v>NÃO INFORMADO</x:v>
      </x:c>
      <x:c r="G45" s="10" t="str">
        <x:v>Indefinido | atendimento</x:v>
      </x:c>
      <x:c r="H45" s="10" t="str">
        <x:v>Não inferir demanda no WhatsApp apenas pelo CNAE.</x:v>
      </x:c>
      <x:c r="I45" s="10" t="str">
        <x:v>P3 | avaliar</x:v>
      </x:c>
      <x:c r="J45" s="10" t="str">
        <x:v>Quantos pedidos começam no WhatsApp/dia, e quantos são concluídos?</x:v>
      </x:c>
      <x:c r="K45" s="10" t="str"/>
      <x:c r="L45" s="12"/>
      <x:c r="M45" s="12"/>
      <x:c r="N45" s="12"/>
      <x:c r="O45" s="12"/>
      <x:c r="P45" s="12"/>
      <x:c r="Q45" s="12"/>
      <x:c r="R45" s="14" t="n">
        <x:f>ROUND(COUNT(L45:Q45)/6*100,0)</x:f>
        <x:v>0</x:v>
      </x:c>
      <x:c r="S45" s="14" t="str">
        <x:f>IF(COUNT(L45:Q45)&lt;6,"A validar",ROUND(SUMPRODUCT(L45:Q45,'Motor de Score'!$B$7:$G$7)/5,0))</x:f>
        <x:v>A validar</x:v>
      </x:c>
      <x:c r="T45" s="14" t="str">
        <x:f>IF(COUNT(L45:Q45)&lt;6,"Não qualificado",IF(S45&gt;=75,"Fit alto",IF(S45&gt;=55,"Fit médio","Fit baixo")))</x:f>
        <x:v>Não qualificado</x:v>
      </x:c>
      <x:c r="U45" t="str"/>
      <x:c r="V45" t="str">
        <x:v>Não iniciado</x:v>
      </x:c>
      <x:c r="W45" t="str"/>
    </x:row>
    <x:row r="46" ht="32" customHeight="1">
      <x:c r="A46" t="str">
        <x:v>58.421.782/0001-12</x:v>
      </x:c>
      <x:c r="B46" t="str">
        <x:v>MANZINI PIZZARIA MARINGA</x:v>
      </x:c>
      <x:c r="C46" t="str">
        <x:v>Maringa</x:v>
      </x:c>
      <x:c r="D46" t="str">
        <x:v>ME</x:v>
      </x:c>
      <x:c r="E46" t="n">
        <x:v>0</x:v>
      </x:c>
      <x:c r="F46" s="10" t="str">
        <x:v>NÃO INFORMADO</x:v>
      </x:c>
      <x:c r="G46" s="10" t="str">
        <x:v>Pedidos | hipótese pelo segmento</x:v>
      </x:c>
      <x:c r="H46" s="10" t="str">
        <x:v>Nome/CNAE sugerem possível canal de pedidos; participação WhatsApp não verificada.</x:v>
      </x:c>
      <x:c r="I46" s="10" t="str">
        <x:v>P2 | canal</x:v>
      </x:c>
      <x:c r="J46" s="10" t="str">
        <x:v>Quantos pedidos começam no WhatsApp/dia, e quantos são concluídos?</x:v>
      </x:c>
      <x:c r="K46" s="10" t="str"/>
      <x:c r="L46" s="12"/>
      <x:c r="M46" s="12"/>
      <x:c r="N46" s="12"/>
      <x:c r="O46" s="12"/>
      <x:c r="P46" s="12"/>
      <x:c r="Q46" s="12"/>
      <x:c r="R46" s="14" t="n">
        <x:f>ROUND(COUNT(L46:Q46)/6*100,0)</x:f>
        <x:v>0</x:v>
      </x:c>
      <x:c r="S46" s="14" t="str">
        <x:f>IF(COUNT(L46:Q46)&lt;6,"A validar",ROUND(SUMPRODUCT(L46:Q46,'Motor de Score'!$B$7:$G$7)/5,0))</x:f>
        <x:v>A validar</x:v>
      </x:c>
      <x:c r="T46" s="14" t="str">
        <x:f>IF(COUNT(L46:Q46)&lt;6,"Não qualificado",IF(S46&gt;=75,"Fit alto",IF(S46&gt;=55,"Fit médio","Fit baixo")))</x:f>
        <x:v>Não qualificado</x:v>
      </x:c>
      <x:c r="U46" t="str"/>
      <x:c r="V46" t="str">
        <x:v>Não iniciado</x:v>
      </x:c>
      <x:c r="W46" t="str"/>
    </x:row>
    <x:row r="47" ht="32" customHeight="1">
      <x:c r="A47" t="str">
        <x:v>60.253.185/0001-78</x:v>
      </x:c>
      <x:c r="B47" t="str">
        <x:v>POKER BURGER</x:v>
      </x:c>
      <x:c r="C47" t="str">
        <x:v>Maringa</x:v>
      </x:c>
      <x:c r="D47" t="str">
        <x:v>ME</x:v>
      </x:c>
      <x:c r="E47" t="n">
        <x:v>0</x:v>
      </x:c>
      <x:c r="F47" s="10" t="str">
        <x:v>DE R$ 50 MIL ATÉ R$ 100 MIL</x:v>
      </x:c>
      <x:c r="G47" s="10" t="str">
        <x:v>Pedidos | hipótese pelo segmento</x:v>
      </x:c>
      <x:c r="H47" s="10" t="str">
        <x:v>Nome/CNAE sugerem possível canal de pedidos; participação WhatsApp não verificada.</x:v>
      </x:c>
      <x:c r="I47" s="10" t="str">
        <x:v>P2 | canal</x:v>
      </x:c>
      <x:c r="J47" s="10" t="str">
        <x:v>Quantos pedidos começam no WhatsApp/dia, e quantos são concluídos?</x:v>
      </x:c>
      <x:c r="K47" s="10" t="str"/>
      <x:c r="L47" s="12"/>
      <x:c r="M47" s="12"/>
      <x:c r="N47" s="12"/>
      <x:c r="O47" s="12"/>
      <x:c r="P47" s="12"/>
      <x:c r="Q47" s="12"/>
      <x:c r="R47" s="14" t="n">
        <x:f>ROUND(COUNT(L47:Q47)/6*100,0)</x:f>
        <x:v>0</x:v>
      </x:c>
      <x:c r="S47" s="14" t="str">
        <x:f>IF(COUNT(L47:Q47)&lt;6,"A validar",ROUND(SUMPRODUCT(L47:Q47,'Motor de Score'!$B$7:$G$7)/5,0))</x:f>
        <x:v>A validar</x:v>
      </x:c>
      <x:c r="T47" s="14" t="str">
        <x:f>IF(COUNT(L47:Q47)&lt;6,"Não qualificado",IF(S47&gt;=75,"Fit alto",IF(S47&gt;=55,"Fit médio","Fit baixo")))</x:f>
        <x:v>Não qualificado</x:v>
      </x:c>
      <x:c r="U47" t="str"/>
      <x:c r="V47" t="str">
        <x:v>Não iniciado</x:v>
      </x:c>
      <x:c r="W47" t="str"/>
    </x:row>
    <x:row r="48" ht="32" customHeight="1">
      <x:c r="A48" t="str">
        <x:v>60.637.760/0001-36</x:v>
      </x:c>
      <x:c r="B48" t="str">
        <x:v>TOP DOG LANCHES</x:v>
      </x:c>
      <x:c r="C48" t="str">
        <x:v>Maringa</x:v>
      </x:c>
      <x:c r="D48" t="str">
        <x:v>ME</x:v>
      </x:c>
      <x:c r="E48" t="n">
        <x:v>0</x:v>
      </x:c>
      <x:c r="F48" s="10" t="str">
        <x:v>DE R$ 50 MIL ATÉ R$ 100 MIL</x:v>
      </x:c>
      <x:c r="G48" s="10" t="str">
        <x:v>Pedidos | lanches delivery</x:v>
      </x:c>
      <x:c r="H48" s="10" t="str">
        <x:v>Retirada/delivery descritos em cadastro público.</x:v>
      </x:c>
      <x:c r="I48" s="10" t="str">
        <x:v>P1 | pesquisa</x:v>
      </x:c>
      <x:c r="J48" s="10" t="str">
        <x:v>Quantos pedidos começam no WhatsApp/dia, e quantos são concluídos?</x:v>
      </x:c>
      <x:c r="K48" s="10" t="str"/>
      <x:c r="L48" s="12"/>
      <x:c r="M48" s="12"/>
      <x:c r="N48" s="12"/>
      <x:c r="O48" s="12"/>
      <x:c r="P48" s="12"/>
      <x:c r="Q48" s="12"/>
      <x:c r="R48" s="14" t="n">
        <x:f>ROUND(COUNT(L48:Q48)/6*100,0)</x:f>
        <x:v>0</x:v>
      </x:c>
      <x:c r="S48" s="14" t="str">
        <x:f>IF(COUNT(L48:Q48)&lt;6,"A validar",ROUND(SUMPRODUCT(L48:Q48,'Motor de Score'!$B$7:$G$7)/5,0))</x:f>
        <x:v>A validar</x:v>
      </x:c>
      <x:c r="T48" s="14" t="str">
        <x:f>IF(COUNT(L48:Q48)&lt;6,"Não qualificado",IF(S48&gt;=75,"Fit alto",IF(S48&gt;=55,"Fit médio","Fit baixo")))</x:f>
        <x:v>Não qualificado</x:v>
      </x:c>
      <x:c r="U48" t="str"/>
      <x:c r="V48" t="str">
        <x:v>Não iniciado</x:v>
      </x:c>
      <x:c r="W48" t="str"/>
    </x:row>
    <x:row r="49" ht="32" customHeight="1">
      <x:c r="A49" t="str">
        <x:v>61.926.593/0001-06</x:v>
      </x:c>
      <x:c r="B49" t="str">
        <x:v>CAVALINHO COSTELARIA</x:v>
      </x:c>
      <x:c r="C49" t="str">
        <x:v>Maringa</x:v>
      </x:c>
      <x:c r="D49" t="str">
        <x:v>ME</x:v>
      </x:c>
      <x:c r="E49" t="n">
        <x:v>0</x:v>
      </x:c>
      <x:c r="F49" s="10" t="str">
        <x:v>NÃO INFORMADO</x:v>
      </x:c>
      <x:c r="G49" s="10" t="str">
        <x:v>Indefinido | atendimento</x:v>
      </x:c>
      <x:c r="H49" s="10" t="str">
        <x:v>Não inferir demanda no WhatsApp apenas pelo CNAE.</x:v>
      </x:c>
      <x:c r="I49" s="10" t="str">
        <x:v>P3 | avaliar</x:v>
      </x:c>
      <x:c r="J49" s="10" t="str">
        <x:v>Quantos pedidos começam no WhatsApp/dia, e quantos são concluídos?</x:v>
      </x:c>
      <x:c r="K49" s="10" t="str"/>
      <x:c r="L49" s="12"/>
      <x:c r="M49" s="12"/>
      <x:c r="N49" s="12"/>
      <x:c r="O49" s="12"/>
      <x:c r="P49" s="12"/>
      <x:c r="Q49" s="12"/>
      <x:c r="R49" s="14" t="n">
        <x:f>ROUND(COUNT(L49:Q49)/6*100,0)</x:f>
        <x:v>0</x:v>
      </x:c>
      <x:c r="S49" s="14" t="str">
        <x:f>IF(COUNT(L49:Q49)&lt;6,"A validar",ROUND(SUMPRODUCT(L49:Q49,'Motor de Score'!$B$7:$G$7)/5,0))</x:f>
        <x:v>A validar</x:v>
      </x:c>
      <x:c r="T49" s="14" t="str">
        <x:f>IF(COUNT(L49:Q49)&lt;6,"Não qualificado",IF(S49&gt;=75,"Fit alto",IF(S49&gt;=55,"Fit médio","Fit baixo")))</x:f>
        <x:v>Não qualificado</x:v>
      </x:c>
      <x:c r="U49" t="str"/>
      <x:c r="V49" t="str">
        <x:v>Não iniciado</x:v>
      </x:c>
      <x:c r="W49" t="str"/>
    </x:row>
    <x:row r="50" ht="32" customHeight="1">
      <x:c r="A50" t="str">
        <x:v>63.162.146/0001-53</x:v>
      </x:c>
      <x:c r="B50" t="str">
        <x:v>SANTA PIZZA</x:v>
      </x:c>
      <x:c r="C50" t="str">
        <x:v>Maringa</x:v>
      </x:c>
      <x:c r="D50" t="str">
        <x:v>ME</x:v>
      </x:c>
      <x:c r="E50" t="n">
        <x:v>0</x:v>
      </x:c>
      <x:c r="F50" s="10" t="str">
        <x:v>NÃO INFORMADO</x:v>
      </x:c>
      <x:c r="G50" s="10" t="str">
        <x:v>Pedidos | hipótese pelo segmento</x:v>
      </x:c>
      <x:c r="H50" s="10" t="str">
        <x:v>Nome/CNAE sugerem possível canal de pedidos; participação WhatsApp não verificada.</x:v>
      </x:c>
      <x:c r="I50" s="10" t="str">
        <x:v>P2 | canal</x:v>
      </x:c>
      <x:c r="J50" s="10" t="str">
        <x:v>Quantos pedidos começam no WhatsApp/dia, e quantos são concluídos?</x:v>
      </x:c>
      <x:c r="K50" s="10" t="str"/>
      <x:c r="L50" s="12"/>
      <x:c r="M50" s="12"/>
      <x:c r="N50" s="12"/>
      <x:c r="O50" s="12"/>
      <x:c r="P50" s="12"/>
      <x:c r="Q50" s="12"/>
      <x:c r="R50" s="14" t="n">
        <x:f>ROUND(COUNT(L50:Q50)/6*100,0)</x:f>
        <x:v>0</x:v>
      </x:c>
      <x:c r="S50" s="14" t="str">
        <x:f>IF(COUNT(L50:Q50)&lt;6,"A validar",ROUND(SUMPRODUCT(L50:Q50,'Motor de Score'!$B$7:$G$7)/5,0))</x:f>
        <x:v>A validar</x:v>
      </x:c>
      <x:c r="T50" s="14" t="str">
        <x:f>IF(COUNT(L50:Q50)&lt;6,"Não qualificado",IF(S50&gt;=75,"Fit alto",IF(S50&gt;=55,"Fit médio","Fit baixo")))</x:f>
        <x:v>Não qualificado</x:v>
      </x:c>
      <x:c r="U50" t="str"/>
      <x:c r="V50" t="str">
        <x:v>Não iniciado</x:v>
      </x:c>
      <x:c r="W50" t="str"/>
    </x:row>
    <x:row r="51" ht="32" customHeight="1">
      <x:c r="A51" t="str">
        <x:v>64.061.804/0001-83</x:v>
      </x:c>
      <x:c r="B51" t="str">
        <x:v>JG BURGUER</x:v>
      </x:c>
      <x:c r="C51" t="str">
        <x:v>Cianorte</x:v>
      </x:c>
      <x:c r="D51" t="str">
        <x:v>ME</x:v>
      </x:c>
      <x:c r="E51" t="n">
        <x:v>0</x:v>
      </x:c>
      <x:c r="F51" s="10" t="str">
        <x:v>NÃO INFORMADO</x:v>
      </x:c>
      <x:c r="G51" s="10" t="str">
        <x:v>Pedidos | hipótese pelo segmento</x:v>
      </x:c>
      <x:c r="H51" s="10" t="str">
        <x:v>Nome/CNAE sugerem possível canal de pedidos; participação WhatsApp não verificada.</x:v>
      </x:c>
      <x:c r="I51" s="10" t="str">
        <x:v>P2 | canal</x:v>
      </x:c>
      <x:c r="J51" s="10" t="str">
        <x:v>Quantos pedidos começam no WhatsApp/dia, e quantos são concluídos?</x:v>
      </x:c>
      <x:c r="K51" s="10" t="str"/>
      <x:c r="L51" s="12"/>
      <x:c r="M51" s="12"/>
      <x:c r="N51" s="12"/>
      <x:c r="O51" s="12"/>
      <x:c r="P51" s="12"/>
      <x:c r="Q51" s="12"/>
      <x:c r="R51" s="14" t="n">
        <x:f>ROUND(COUNT(L51:Q51)/6*100,0)</x:f>
        <x:v>0</x:v>
      </x:c>
      <x:c r="S51" s="14" t="str">
        <x:f>IF(COUNT(L51:Q51)&lt;6,"A validar",ROUND(SUMPRODUCT(L51:Q51,'Motor de Score'!$B$7:$G$7)/5,0))</x:f>
        <x:v>A validar</x:v>
      </x:c>
      <x:c r="T51" s="14" t="str">
        <x:f>IF(COUNT(L51:Q51)&lt;6,"Não qualificado",IF(S51&gt;=75,"Fit alto",IF(S51&gt;=55,"Fit médio","Fit baixo")))</x:f>
        <x:v>Não qualificado</x:v>
      </x:c>
      <x:c r="U51" t="str"/>
      <x:c r="V51" t="str">
        <x:v>Não iniciado</x:v>
      </x:c>
      <x:c r="W51" t="str"/>
    </x:row>
    <x:row r="52" ht="32" customHeight="1">
      <x:c r="A52" t="str">
        <x:v>67.701.653/0001-79</x:v>
      </x:c>
      <x:c r="B52" t="str">
        <x:v>DOG KING</x:v>
      </x:c>
      <x:c r="C52" t="str">
        <x:v>Maringa</x:v>
      </x:c>
      <x:c r="D52" t="str">
        <x:v>ME</x:v>
      </x:c>
      <x:c r="E52" t="n">
        <x:v>0</x:v>
      </x:c>
      <x:c r="F52" s="10" t="str">
        <x:v>NÃO INFORMADO</x:v>
      </x:c>
      <x:c r="G52" s="10" t="str">
        <x:v>Pedidos | validar autonomia da unidade</x:v>
      </x:c>
      <x:c r="H52" s="10" t="str">
        <x:v>Franquia/rede: governança pode limitar implantação.</x:v>
      </x:c>
      <x:c r="I52" s="10" t="str">
        <x:v>P2 | autonomia</x:v>
      </x:c>
      <x:c r="J52" s="10" t="str">
        <x:v>Quem pode contratar solução fora do padrão da marca?</x:v>
      </x:c>
      <x:c r="K52" s="10" t="str"/>
      <x:c r="L52" s="12"/>
      <x:c r="M52" s="12"/>
      <x:c r="N52" s="12"/>
      <x:c r="O52" s="12"/>
      <x:c r="P52" s="12"/>
      <x:c r="Q52" s="12"/>
      <x:c r="R52" s="14" t="n">
        <x:f>ROUND(COUNT(L52:Q52)/6*100,0)</x:f>
        <x:v>0</x:v>
      </x:c>
      <x:c r="S52" s="14" t="str">
        <x:f>IF(COUNT(L52:Q52)&lt;6,"A validar",ROUND(SUMPRODUCT(L52:Q52,'Motor de Score'!$B$7:$G$7)/5,0))</x:f>
        <x:v>A validar</x:v>
      </x:c>
      <x:c r="T52" s="14" t="str">
        <x:f>IF(COUNT(L52:Q52)&lt;6,"Não qualificado",IF(S52&gt;=75,"Fit alto",IF(S52&gt;=55,"Fit médio","Fit baixo")))</x:f>
        <x:v>Não qualificado</x:v>
      </x:c>
      <x:c r="U52" t="str"/>
      <x:c r="V52" t="str">
        <x:v>Não iniciado</x:v>
      </x:c>
      <x:c r="W52" t="str"/>
    </x:row>
  </x:sheetData>
  <x:dataValidations count="7">
    <x:dataValidation type="list" sqref="L2:L52">
      <x:formula1>"0,1,2,3,4,5"</x:formula1>
    </x:dataValidation>
    <x:dataValidation type="list" sqref="M2:M52">
      <x:formula1>"0,1,2,3,4,5"</x:formula1>
    </x:dataValidation>
    <x:dataValidation type="list" sqref="N2:N52">
      <x:formula1>"0,1,2,3,4,5"</x:formula1>
    </x:dataValidation>
    <x:dataValidation type="list" sqref="O2:O52">
      <x:formula1>"0,1,2,3,4,5"</x:formula1>
    </x:dataValidation>
    <x:dataValidation type="list" sqref="P2:P52">
      <x:formula1>"0,1,2,3,4,5"</x:formula1>
    </x:dataValidation>
    <x:dataValidation type="list" sqref="Q2:Q52">
      <x:formula1>"0,1,2,3,4,5"</x:formula1>
    </x:dataValidation>
    <x:dataValidation type="list" sqref="V2:V52">
      <x:formula1>"Não iniciado,Pesquisar,Teste WhatsApp,Contatar decisor,Discovery,Proposta,Ganho,Perdido,Pausado"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16" hidden="0" customWidth="1"/>
    <x:col min="3" max="3" width="45" hidden="0" customWidth="1"/>
    <x:col min="4" max="4" width="25" hidden="0" customWidth="1"/>
    <x:col min="5" max="5" width="22" hidden="0" customWidth="1"/>
    <x:col min="6" max="6" width="37" hidden="0" customWidth="1"/>
    <x:col min="7" max="7" width="26" hidden="0" customWidth="1"/>
    <x:col min="8" max="8" width="19" hidden="0" customWidth="1"/>
    <x:col min="9" max="9" width="26" hidden="0" customWidth="1"/>
    <x:col min="10" max="10" width="26" hidden="0" customWidth="1"/>
    <x:col min="11" max="11" width="25" hidden="0" customWidth="1"/>
    <x:col min="12" max="12" width="42" hidden="0" customWidth="1"/>
    <x:col min="13" max="13" width="49" hidden="0" customWidth="1"/>
    <x:col min="14" max="14" width="56" hidden="0" customWidth="1"/>
  </x:cols>
  <x:sheetData>
    <x:row r="1" ht="31" customHeight="1">
      <x:c r="A1" s="5" t="str">
        <x:v>Empresa</x:v>
      </x:c>
      <x:c r="B1" s="5" t="str">
        <x:v>Cidade</x:v>
      </x:c>
      <x:c r="C1" s="5" t="str">
        <x:v>Observação fornecida</x:v>
      </x:c>
      <x:c r="D1" s="5" t="str">
        <x:v>Dia e horário do teste</x:v>
      </x:c>
      <x:c r="E1" s="5" t="str">
        <x:v>Dentro do expediente?</x:v>
      </x:c>
      <x:c r="F1" s="5" t="str">
        <x:v>Pergunta realizada</x:v>
      </x:c>
      <x:c r="G1" s="5" t="str">
        <x:v>Resposta automática observada?</x:v>
      </x:c>
      <x:c r="H1" s="5" t="str">
        <x:v>1ª resposta (min)</x:v>
      </x:c>
      <x:c r="I1" s="5" t="str">
        <x:v>Conseguiu concluir a solicitação?</x:v>
      </x:c>
      <x:c r="J1" s="5" t="str">
        <x:v>Destino do pedido</x:v>
      </x:c>
      <x:c r="K1" s="5" t="str">
        <x:v>Mensagens/mês comprovadas</x:v>
      </x:c>
      <x:c r="L1" s="5" t="str">
        <x:v>Diagnóstico do teste</x:v>
      </x:c>
      <x:c r="M1" s="5" t="str">
        <x:v>Pergunta de discovery</x:v>
      </x:c>
      <x:c r="N1" s="5" t="str">
        <x:v>Fonte pública</x:v>
      </x:c>
    </x:row>
    <x:row r="2" ht="42" customHeight="1">
      <x:c r="A2" s="10" t="str">
        <x:v>Boussolé Rooftop</x:v>
      </x:c>
      <x:c r="B2" s="10" t="str">
        <x:v>Londrina</x:v>
      </x:c>
      <x:c r="C2" s="10" t="str">
        <x:v>Chatbot existente, ruim (relato)</x:v>
      </x:c>
      <x:c r="D2" s="32"/>
      <x:c r="E2" s="32"/>
      <x:c r="F2" s="32"/>
      <x:c r="G2" s="10" t="str">
        <x:v>Sim (relato)</x:v>
      </x:c>
      <x:c r="H2" s="32"/>
      <x:c r="I2" s="32"/>
      <x:c r="J2" s="32"/>
      <x:c r="K2" s="32"/>
      <x:c r="L2" s="10" t="str">
        <x:f>IF(OR(E2="",H2=""),"Sem evidência suficiente",IF(E2&lt;&gt;"Sim","Fora do expediente",IF(H2&gt;=30,"Demora &gt;= 30min; ausência de IA não comprovada",IF(G2="Sim","Resposta automática observada","Resposta &lt;30min; origem desconhecida"))))</x:f>
        <x:v>Sem evidência suficiente</x:v>
      </x:c>
      <x:c r="M2" s="10" t="str">
        <x:v>Qual porcentagem das reservas, aniversários e eventos entra via WhatsApp?</x:v>
      </x:c>
      <x:c r="N2" s="10" t="str">
        <x:v>https://linktr.ee/boussolerooftop</x:v>
      </x:c>
    </x:row>
    <x:row r="3" ht="42" customHeight="1">
      <x:c r="A3" s="10" t="str">
        <x:v>La Gondola Trattoria</x:v>
      </x:c>
      <x:c r="B3" s="10" t="str">
        <x:v>Londrina</x:v>
      </x:c>
      <x:c r="C3" s="10" t="str">
        <x:v>Atendimento humano (relato)</x:v>
      </x:c>
      <x:c r="D3" s="32"/>
      <x:c r="E3" s="32"/>
      <x:c r="F3" s="32"/>
      <x:c r="G3" s="10" t="str">
        <x:v>Não (relato)</x:v>
      </x:c>
      <x:c r="H3" s="32"/>
      <x:c r="I3" s="32"/>
      <x:c r="J3" s="32"/>
      <x:c r="K3" s="32"/>
      <x:c r="L3" s="10" t="str">
        <x:f>IF(OR(E3="",H3=""),"Sem evidência suficiente",IF(E3&lt;&gt;"Sim","Fora do expediente",IF(H3&gt;=30,"Demora &gt;= 30min; ausência de IA não comprovada",IF(G3="Sim","Resposta automática observada","Resposta &lt;30min; origem desconhecida"))))</x:f>
        <x:v>Sem evidência suficiente</x:v>
      </x:c>
      <x:c r="M3" s="10" t="str">
        <x:v>Quantas reservas e alterações de reserva chegam via WhatsApp/semana?</x:v>
      </x:c>
      <x:c r="N3" s="10" t="str">
        <x:v>https://restaurantelagondola.com.br/</x:v>
      </x:c>
    </x:row>
    <x:row r="4" ht="42" customHeight="1">
      <x:c r="A4" s="10" t="str">
        <x:v>Granchio Bistrô</x:v>
      </x:c>
      <x:c r="B4" s="10" t="str">
        <x:v>Londrina</x:v>
      </x:c>
      <x:c r="C4" s="10" t="str">
        <x:v>Atendimento humano (relato)</x:v>
      </x:c>
      <x:c r="D4" s="32"/>
      <x:c r="E4" s="32"/>
      <x:c r="F4" s="32"/>
      <x:c r="G4" s="10" t="str">
        <x:v>Não (relato)</x:v>
      </x:c>
      <x:c r="H4" s="32"/>
      <x:c r="I4" s="32"/>
      <x:c r="J4" s="32"/>
      <x:c r="K4" s="32"/>
      <x:c r="L4" s="10" t="str">
        <x:f>IF(OR(E4="",H4=""),"Sem evidência suficiente",IF(E4&lt;&gt;"Sim","Fora do expediente",IF(H4&gt;=30,"Demora &gt;= 30min; ausência de IA não comprovada",IF(G4="Sim","Resposta automática observada","Resposta &lt;30min; origem desconhecida"))))</x:f>
        <x:v>Sem evidência suficiente</x:v>
      </x:c>
      <x:c r="M4" s="10" t="str">
        <x:v>Quantas reservas são feitas via mensagens e quantos clientes retornam?</x:v>
      </x:c>
      <x:c r="N4" s="10" t="str">
        <x:v>https://restaurantguru.com.br/Granchio-Bistro-Londrina</x:v>
      </x:c>
    </x:row>
    <x:row r="5" ht="42" customHeight="1">
      <x:c r="A5" s="10" t="str">
        <x:v>O Casarão Londrina</x:v>
      </x:c>
      <x:c r="B5" s="10" t="str">
        <x:v>Londrina</x:v>
      </x:c>
      <x:c r="C5" s="10" t="str">
        <x:v>Atendimento humano (relato)</x:v>
      </x:c>
      <x:c r="D5" s="32"/>
      <x:c r="E5" s="32"/>
      <x:c r="F5" s="32"/>
      <x:c r="G5" s="10" t="str">
        <x:v>Não (relato)</x:v>
      </x:c>
      <x:c r="H5" s="32"/>
      <x:c r="I5" s="32"/>
      <x:c r="J5" s="32"/>
      <x:c r="K5" s="32"/>
      <x:c r="L5" s="10" t="str">
        <x:f>IF(OR(E5="",H5=""),"Sem evidência suficiente",IF(E5&lt;&gt;"Sim","Fora do expediente",IF(H5&gt;=30,"Demora &gt;= 30min; ausência de IA não comprovada",IF(G5="Sim","Resposta automática observada","Resposta &lt;30min; origem desconhecida"))))</x:f>
        <x:v>Sem evidência suficiente</x:v>
      </x:c>
      <x:c r="M5" s="10" t="str">
        <x:v>Quantos eventos/orçamentos chegam por mês? Quanto leva o follow-up?</x:v>
      </x:c>
      <x:c r="N5" s="10" t="str">
        <x:v>https://casadosdados.com.br/solucao/cnpj/o-casarao-restaurante-londrina-ltda-44587249000110</x:v>
      </x:c>
    </x:row>
    <x:row r="6" ht="42" customHeight="1">
      <x:c r="A6" s="10" t="str">
        <x:v>Manzini Pizzaria Maringá</x:v>
      </x:c>
      <x:c r="B6" s="10" t="str">
        <x:v>Maringá</x:v>
      </x:c>
      <x:c r="C6" s="10" t="str">
        <x:v>Atendimento humano (relato)</x:v>
      </x:c>
      <x:c r="D6" s="32"/>
      <x:c r="E6" s="32"/>
      <x:c r="F6" s="32"/>
      <x:c r="G6" s="10" t="str">
        <x:v>Não (relato)</x:v>
      </x:c>
      <x:c r="H6" s="32"/>
      <x:c r="I6" s="32"/>
      <x:c r="J6" s="32"/>
      <x:c r="K6" s="32"/>
      <x:c r="L6" s="10" t="str">
        <x:f>IF(OR(E6="",H6=""),"Sem evidência suficiente",IF(E6&lt;&gt;"Sim","Fora do expediente",IF(H6&gt;=30,"Demora &gt;= 30min; ausência de IA não comprovada",IF(G6="Sim","Resposta automática observada","Resposta &lt;30min; origem desconhecida"))))</x:f>
        <x:v>Sem evidência suficiente</x:v>
      </x:c>
      <x:c r="M6" s="10" t="str">
        <x:v>Quantas reservas de grupos, aniversários e pedidos de delivery passam no WhatsApp?</x:v>
      </x:c>
      <x:c r="N6" s="10" t="str">
        <x:v>https://www.google.com/maps/search/?api=1&amp;query=Manzini+Pizzaria+Maringa</x:v>
      </x:c>
    </x:row>
    <x:row r="7" ht="42" customHeight="1">
      <x:c r="A7" s="10" t="str">
        <x:v>Fornalha Pizza Maringá</x:v>
      </x:c>
      <x:c r="B7" s="10" t="str">
        <x:v>Maringá</x:v>
      </x:c>
      <x:c r="C7" s="10" t="str">
        <x:v>Provavelmente pequeno (hipótese do usuário)</x:v>
      </x:c>
      <x:c r="D7" s="32"/>
      <x:c r="E7" s="32"/>
      <x:c r="F7" s="32"/>
      <x:c r="G7" s="10" t="str">
        <x:v>Indefinido</x:v>
      </x:c>
      <x:c r="H7" s="32"/>
      <x:c r="I7" s="32"/>
      <x:c r="J7" s="32"/>
      <x:c r="K7" s="32"/>
      <x:c r="L7" s="10" t="str">
        <x:f>IF(OR(E7="",H7=""),"Sem evidência suficiente",IF(E7&lt;&gt;"Sim","Fora do expediente",IF(H7&gt;=30,"Demora &gt;= 30min; ausência de IA não comprovada",IF(G7="Sim","Resposta automática observada","Resposta &lt;30min; origem desconhecida"))))</x:f>
        <x:v>Sem evidência suficiente</x:v>
      </x:c>
      <x:c r="M7" s="10" t="str">
        <x:v>Quantos pedidos/dia chegam por WhatsApp versus marketplaces?</x:v>
      </x:c>
      <x:c r="N7" s="10" t="str">
        <x:v>https://www.diariocidade.com/pr/maringa/guia/restaurantes/pg-9/</x:v>
      </x:c>
    </x:row>
    <x:row r="8" ht="42" customHeight="1">
      <x:c r="A8" s="10" t="str">
        <x:v>Pizzaria MK</x:v>
      </x:c>
      <x:c r="B8" s="10" t="str">
        <x:v>Maringá</x:v>
      </x:c>
      <x:c r="C8" s="10" t="str">
        <x:v>Fechada para reforma (relato)</x:v>
      </x:c>
      <x:c r="D8" s="32"/>
      <x:c r="E8" s="32"/>
      <x:c r="F8" s="32"/>
      <x:c r="G8" s="10" t="str">
        <x:v>Indefinido</x:v>
      </x:c>
      <x:c r="H8" s="32"/>
      <x:c r="I8" s="32"/>
      <x:c r="J8" s="32"/>
      <x:c r="K8" s="32"/>
      <x:c r="L8" s="10" t="str">
        <x:f>IF(OR(E8="",H8=""),"Sem evidência suficiente",IF(E8&lt;&gt;"Sim","Fora do expediente",IF(H8&gt;=30,"Demora &gt;= 30min; ausência de IA não comprovada",IF(G8="Sim","Resposta automática observada","Resposta &lt;30min; origem desconhecida"))))</x:f>
        <x:v>Sem evidência suficiente</x:v>
      </x:c>
      <x:c r="M8" s="10" t="str">
        <x:v>Qual a data de reabertura e como será o processo de pedidos?</x:v>
      </x:c>
      <x:c r="N8" s="10" t="str"/>
    </x:row>
    <x:row r="9" ht="42" customHeight="1">
      <x:c r="A9" s="10" t="str">
        <x:v>J Maia Pizzaria</x:v>
      </x:c>
      <x:c r="B9" s="10" t="str">
        <x:v>Maringá</x:v>
      </x:c>
      <x:c r="C9" s="10" t="str">
        <x:v>Sem perfil encontrado (relato)</x:v>
      </x:c>
      <x:c r="D9" s="32"/>
      <x:c r="E9" s="32"/>
      <x:c r="F9" s="32"/>
      <x:c r="G9" s="10" t="str">
        <x:v>Indefinido</x:v>
      </x:c>
      <x:c r="H9" s="32"/>
      <x:c r="I9" s="32"/>
      <x:c r="J9" s="32"/>
      <x:c r="K9" s="32"/>
      <x:c r="L9" s="10" t="str">
        <x:f>IF(OR(E9="",H9=""),"Sem evidência suficiente",IF(E9&lt;&gt;"Sim","Fora do expediente",IF(H9&gt;=30,"Demora &gt;= 30min; ausência de IA não comprovada",IF(G9="Sim","Resposta automática observada","Resposta &lt;30min; origem desconhecida"))))</x:f>
        <x:v>Sem evidência suficiente</x:v>
      </x:c>
      <x:c r="M9" s="10" t="str">
        <x:v>Qual canal oficial recebe pedidos e reservas?</x:v>
      </x:c>
      <x:c r="N9" s="10" t="str">
        <x:v>https://www.diariocidade.com/pr/maringa/guia/restaurantes/pg-9/</x:v>
      </x:c>
    </x:row>
    <x:row r="10" ht="42" customHeight="1">
      <x:c r="A10" s="10" t="str">
        <x:v>Costelaria O Rancho</x:v>
      </x:c>
      <x:c r="B10" s="10" t="str">
        <x:v>Maringá</x:v>
      </x:c>
      <x:c r="C10" s="10" t="str">
        <x:v>Usa IA da Meta (relato)</x:v>
      </x:c>
      <x:c r="D10" s="32"/>
      <x:c r="E10" s="32"/>
      <x:c r="F10" s="32"/>
      <x:c r="G10" s="10" t="str">
        <x:v>Sim (relato)</x:v>
      </x:c>
      <x:c r="H10" s="32"/>
      <x:c r="I10" s="32"/>
      <x:c r="J10" s="32"/>
      <x:c r="K10" s="32"/>
      <x:c r="L10" s="10" t="str">
        <x:f>IF(OR(E10="",H10=""),"Sem evidência suficiente",IF(E10&lt;&gt;"Sim","Fora do expediente",IF(H10&gt;=30,"Demora &gt;= 30min; ausência de IA não comprovada",IF(G10="Sim","Resposta automática observada","Resposta &lt;30min; origem desconhecida"))))</x:f>
        <x:v>Sem evidência suficiente</x:v>
      </x:c>
      <x:c r="M10" s="10" t="str">
        <x:v>A IA Meta registra clientes, atualiza cardápio e faz follow-up?</x:v>
      </x:c>
      <x:c r="N10" s="10" t="str">
        <x:v>https://restaurantguru.com.br/Costelaria-e-Petiscaria-o-Rancho-Maringa</x:v>
      </x:c>
    </x:row>
    <x:row r="11" ht="42" customHeight="1">
      <x:c r="A11" s="10" t="str">
        <x:v>Pizzaria Marcelus | Hilton</x:v>
      </x:c>
      <x:c r="B11" s="10" t="str">
        <x:v>Maringá</x:v>
      </x:c>
      <x:c r="C11" s="10" t="str">
        <x:v>Sem diagnóstico de atendimento (relato)</x:v>
      </x:c>
      <x:c r="D11" s="32"/>
      <x:c r="E11" s="32"/>
      <x:c r="F11" s="32"/>
      <x:c r="G11" s="10" t="str">
        <x:v>Indefinido</x:v>
      </x:c>
      <x:c r="H11" s="32"/>
      <x:c r="I11" s="32"/>
      <x:c r="J11" s="32"/>
      <x:c r="K11" s="32"/>
      <x:c r="L11" s="10" t="str">
        <x:f>IF(OR(E11="",H11=""),"Sem evidência suficiente",IF(E11&lt;&gt;"Sim","Fora do expediente",IF(H11&gt;=30,"Demora &gt;= 30min; ausência de IA não comprovada",IF(G11="Sim","Resposta automática observada","Resposta &lt;30min; origem desconhecida"))))</x:f>
        <x:v>Sem evidência suficiente</x:v>
      </x:c>
      <x:c r="M11" s="10" t="str">
        <x:v>Qual proporção de pedidos vem de WhatsApp, do app e do cardápio online?</x:v>
      </x:c>
      <x:c r="N11" s="10" t="str"/>
    </x:row>
    <x:row r="12" ht="42" customHeight="1">
      <x:c r="A12" s="10" t="str">
        <x:v>Bizzo Pizzaria</x:v>
      </x:c>
      <x:c r="B12" s="10" t="str">
        <x:v>Não confirmado</x:v>
      </x:c>
      <x:c r="C12" s="10" t="str">
        <x:v>Contato informado; automação não diagnosticada</x:v>
      </x:c>
      <x:c r="D12" s="32"/>
      <x:c r="E12" s="32"/>
      <x:c r="F12" s="32"/>
      <x:c r="G12" s="10" t="str">
        <x:v>Indefinido</x:v>
      </x:c>
      <x:c r="H12" s="32"/>
      <x:c r="I12" s="32"/>
      <x:c r="J12" s="32"/>
      <x:c r="K12" s="32"/>
      <x:c r="L12" s="10" t="str">
        <x:f>IF(OR(E12="",H12=""),"Sem evidência suficiente",IF(E12&lt;&gt;"Sim","Fora do expediente",IF(H12&gt;=30,"Demora &gt;= 30min; ausência de IA não comprovada",IF(G12="Sim","Resposta automática observada","Resposta &lt;30min; origem desconhecida"))))</x:f>
        <x:v>Sem evidência suficiente</x:v>
      </x:c>
      <x:c r="M12" s="10" t="str">
        <x:v>Qual o nome oficial/CNPJ dessa operação? Bizzo e Bizza são empresas diferentes?</x:v>
      </x:c>
      <x:c r="N12" s="10" t="str"/>
    </x:row>
    <x:row r="13" ht="42" customHeight="1">
      <x:c r="A13" s="10" t="str">
        <x:v>Pizzeria da Praça</x:v>
      </x:c>
      <x:c r="B13" s="10" t="str">
        <x:v>Maringá</x:v>
      </x:c>
      <x:c r="C13" s="10" t="str">
        <x:v>Sem IA/automação (relato)</x:v>
      </x:c>
      <x:c r="D13" s="32"/>
      <x:c r="E13" s="32"/>
      <x:c r="F13" s="32"/>
      <x:c r="G13" s="10" t="str">
        <x:v>Não (relato)</x:v>
      </x:c>
      <x:c r="H13" s="32"/>
      <x:c r="I13" s="32"/>
      <x:c r="J13" s="32"/>
      <x:c r="K13" s="32"/>
      <x:c r="L13" s="10" t="str">
        <x:f>IF(OR(E13="",H13=""),"Sem evidência suficiente",IF(E13&lt;&gt;"Sim","Fora do expediente",IF(H13&gt;=30,"Demora &gt;= 30min; ausência de IA não comprovada",IF(G13="Sim","Resposta automática observada","Resposta &lt;30min; origem desconhecida"))))</x:f>
        <x:v>Sem evidência suficiente</x:v>
      </x:c>
      <x:c r="M13" s="10" t="str">
        <x:v>Quantos pedidos por WhatsApp/dia e perdas por falta de acompanhamento?</x:v>
      </x:c>
      <x:c r="N13" s="10" t="str">
        <x:v>https://aiqfome.com/PR/maringa/pizzeria-da-praca</x:v>
      </x:c>
    </x:row>
    <x:row r="14" ht="42" customHeight="1">
      <x:c r="A14" s="10" t="str">
        <x:v>Pizza Prime Maringá</x:v>
      </x:c>
      <x:c r="B14" s="10" t="str">
        <x:v>Maringá</x:v>
      </x:c>
      <x:c r="C14" s="10" t="str">
        <x:v>IA + humanos (relato)</x:v>
      </x:c>
      <x:c r="D14" s="32"/>
      <x:c r="E14" s="32"/>
      <x:c r="F14" s="32"/>
      <x:c r="G14" s="10" t="str">
        <x:v>Sim (relato)</x:v>
      </x:c>
      <x:c r="H14" s="32"/>
      <x:c r="I14" s="32"/>
      <x:c r="J14" s="32"/>
      <x:c r="K14" s="32"/>
      <x:c r="L14" s="10" t="str">
        <x:f>IF(OR(E14="",H14=""),"Sem evidência suficiente",IF(E14&lt;&gt;"Sim","Fora do expediente",IF(H14&gt;=30,"Demora &gt;= 30min; ausência de IA não comprovada",IF(G14="Sim","Resposta automática observada","Resposta &lt;30min; origem desconhecida"))))</x:f>
        <x:v>Sem evidência suficiente</x:v>
      </x:c>
      <x:c r="M14" s="10" t="str">
        <x:v>Que tarefas a IA atual não conclui e a unidade pode contratar integrações?</x:v>
      </x:c>
      <x:c r="N14" s="10" t="str">
        <x:v>https://www.econodata.com.br/consulta-empresa/46180589000158-martins-comercio-de-alimentos-ltda</x:v>
      </x:c>
    </x:row>
  </x:sheetData>
  <x:dataValidations count="2">
    <x:dataValidation type="list" sqref="E2:E14">
      <x:formula1>"Sim,Não"</x:formula1>
    </x:dataValidation>
    <x:dataValidation type="list" sqref="I2:I14">
      <x:formula1>"Sim,Não,Parcial"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73" hidden="0" customWidth="1"/>
    <x:col min="3" max="3" width="16" hidden="0" customWidth="1"/>
    <x:col min="4" max="4" width="17" hidden="0" customWidth="1"/>
    <x:col min="5" max="5" width="19" hidden="0" customWidth="1"/>
    <x:col min="6" max="6" width="18" hidden="0" customWidth="1"/>
    <x:col min="7" max="7" width="18" hidden="0" customWidth="1"/>
    <x:col min="8" max="8" width="12" hidden="0" customWidth="1"/>
  </x:cols>
  <x:sheetData>
    <x:row r="1" ht="44" customHeight="1">
      <x:c r="A1" s="16" t="str">
        <x:v>RADAR ICP  |  QUALIFICAÇÃO COM EVIDÊNCIAS</x:v>
      </x:c>
      <x:c r="B1" s="16"/>
      <x:c r="C1" s="16"/>
      <x:c r="D1" s="16"/>
      <x:c r="E1" s="16"/>
      <x:c r="F1" s="16"/>
      <x:c r="G1" s="16"/>
      <x:c r="H1" s="16"/>
    </x:row>
    <x:row r="3" ht="26" customHeight="1">
      <x:c r="A3" s="18" t="str">
        <x:v>Escalas 0–5 são preenchidas após pesquisa ou discovery; campo em branco = desconhecido, não nota zero.</x:v>
      </x:c>
      <x:c r="B3" s="18"/>
      <x:c r="C3" s="18"/>
      <x:c r="D3" s="18"/>
      <x:c r="E3" s="18"/>
      <x:c r="F3" s="18"/>
      <x:c r="G3" s="18"/>
      <x:c r="H3" s="18"/>
    </x:row>
    <x:row r="5" ht="31" customHeight="1">
      <x:c r="A5" s="5" t="str">
        <x:v>Variável / peso</x:v>
      </x:c>
      <x:c r="B5" s="5" t="str">
        <x:v>Dependência WA</x:v>
      </x:c>
      <x:c r="C5" s="5" t="str">
        <x:v>Volume</x:v>
      </x:c>
      <x:c r="D5" s="5" t="str">
        <x:v>Dor real</x:v>
      </x:c>
      <x:c r="E5" s="5" t="str">
        <x:v>Economia / ROI</x:v>
      </x:c>
      <x:c r="F5" s="5" t="str">
        <x:v>Acesso decisor</x:v>
      </x:c>
      <x:c r="G5" s="5" t="str">
        <x:v>Viabilidade</x:v>
      </x:c>
      <x:c r="H5" s="5" t="str">
        <x:v>TOTAL</x:v>
      </x:c>
    </x:row>
    <x:row r="7" ht="30" customHeight="1">
      <x:c r="A7" s="20" t="str">
        <x:v>Peso %</x:v>
      </x:c>
      <x:c r="B7" s="20" t="n">
        <x:v>25</x:v>
      </x:c>
      <x:c r="C7" s="20" t="n">
        <x:v>25</x:v>
      </x:c>
      <x:c r="D7" s="20" t="n">
        <x:v>15</x:v>
      </x:c>
      <x:c r="E7" s="20" t="n">
        <x:v>15</x:v>
      </x:c>
      <x:c r="F7" s="20" t="n">
        <x:v>10</x:v>
      </x:c>
      <x:c r="G7" s="20" t="n">
        <x:v>10</x:v>
      </x:c>
      <x:c r="H7" s="20" t="n">
        <x:f>SUM(B7:G7)</x:f>
        <x:v>100</x:v>
      </x:c>
    </x:row>
    <x:row r="9" ht="31" customHeight="1">
      <x:c r="A9" s="5" t="str">
        <x:v>COMO PONTUAR (investigação, não palpite)</x:v>
      </x:c>
      <x:c r="B9" s="5"/>
      <x:c r="C9" s="5"/>
      <x:c r="D9" s="5"/>
      <x:c r="E9" s="5"/>
      <x:c r="F9" s="5"/>
      <x:c r="G9" s="5"/>
      <x:c r="H9" s="5"/>
    </x:row>
    <x:row r="10" ht="32" customHeight="1">
      <x:c r="A10" s="22" t="str">
        <x:v>Dependência WA</x:v>
      </x:c>
      <x:c r="B10" s="10" t="str">
        <x:v>0: canal irrelevante | 3: participa do atendimento | 5: canal crítico para concluir transações</x:v>
      </x:c>
    </x:row>
    <x:row r="11" ht="32" customHeight="1">
      <x:c r="A11" s="22" t="str">
        <x:v>Volume</x:v>
      </x:c>
      <x:c r="B11" s="10" t="str">
        <x:v>0: confirmado mínimo | 3: moderado validado | 5: alto e recorrente confirmado</x:v>
      </x:c>
    </x:row>
    <x:row r="12" ht="32" customHeight="1">
      <x:c r="A12" s="22" t="str">
        <x:v>Dor real</x:v>
      </x:c>
      <x:c r="B12" s="10" t="str">
        <x:v>0: processo satisfatório comprovado | 3: fricção relatada | 5: perda relevante mensurada</x:v>
      </x:c>
    </x:row>
    <x:row r="13" ht="32" customHeight="1">
      <x:c r="A13" s="22" t="str">
        <x:v>Economia / ROI</x:v>
      </x:c>
      <x:c r="B13" s="10" t="str">
        <x:v>0: investimento inviável | 3: retorno plausível | 5: benefício conservador cobre o custo</x:v>
      </x:c>
    </x:row>
    <x:row r="14" ht="32" customHeight="1">
      <x:c r="A14" s="22" t="str">
        <x:v>Acesso decisor</x:v>
      </x:c>
      <x:c r="B14" s="10" t="str">
        <x:v>0: sem acesso ou orçamento | 3: decisor alcançável | 5: patrocinador ativo e verba disponível</x:v>
      </x:c>
    </x:row>
    <x:row r="15" ht="32" customHeight="1">
      <x:c r="A15" s="22" t="str">
        <x:v>Viabilidade</x:v>
      </x:c>
      <x:c r="B15" s="10" t="str">
        <x:v>0: dependência técnica impeditiva | 3: implementação viável | 5: simples, replicável e margem sustentável</x:v>
      </x:c>
    </x:row>
    <x:row r="17" ht="37" customHeight="1">
      <x:c r="A17" s="26" t="str">
        <x:v>TRAVAS: se faltar volume, WA, dor, ou ROI, não chamar de ICP confirmado. Faturamento estimado é somente pista, nunca fluxo de caixa.</x:v>
      </x:c>
      <x:c r="B17" s="26"/>
      <x:c r="C17" s="26"/>
      <x:c r="D17" s="26"/>
      <x:c r="E17" s="26"/>
      <x:c r="F17" s="26"/>
      <x:c r="G17" s="26"/>
      <x:c r="H17" s="26"/>
    </x:row>
    <x:row r="19" ht="30" customHeight="1">
      <x:c r="A19" s="30" t="str">
        <x:v>SCORING 100% preenchido: &gt;=75 Alto | 55 a 74 Médio | abaixo de 55 Baixo. Score não é taxa de fechamento.</x:v>
      </x:c>
      <x:c r="B19" s="30"/>
      <x:c r="C19" s="30"/>
      <x:c r="D19" s="30"/>
      <x:c r="E19" s="30"/>
      <x:c r="F19" s="30"/>
      <x:c r="G19" s="30"/>
      <x:c r="H19" s="30"/>
    </x:row>
  </x:sheetData>
  <x:mergeCells>
    <x:mergeCell ref="A1:H1"/>
    <x:mergeCell ref="A3:H3"/>
    <x:mergeCell ref="A9:H9"/>
    <x:mergeCell ref="A17:H17"/>
    <x:mergeCell ref="A19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43" hidden="0" customWidth="1"/>
    <x:col min="3" max="3" width="54" hidden="0" customWidth="1"/>
    <x:col min="4" max="4" width="42" hidden="0" customWidth="1"/>
    <x:col min="5" max="5" width="41" hidden="0" customWidth="1"/>
    <x:col min="6" max="6" width="48" hidden="0" customWidth="1"/>
    <x:col min="7" max="7" width="61" hidden="0" customWidth="1"/>
  </x:cols>
  <x:sheetData>
    <x:row r="1" ht="31" customHeight="1">
      <x:c r="A1" s="5" t="str">
        <x:v>Vertical / subtipo</x:v>
      </x:c>
      <x:c r="B1" s="5" t="str">
        <x:v>Transação repetida</x:v>
      </x:c>
      <x:c r="C1" s="5" t="str">
        <x:v>Gatilhos públicos pesquisáveis</x:v>
      </x:c>
      <x:c r="D1" s="5" t="str">
        <x:v>Dados ainda não públicos</x:v>
      </x:c>
      <x:c r="E1" s="5" t="str">
        <x:v>Oferta inicial</x:v>
      </x:c>
      <x:c r="F1" s="5" t="str">
        <x:v>Filtro negativo</x:v>
      </x:c>
      <x:c r="G1" s="5" t="str">
        <x:v>Padrão de busca para scraping</x:v>
      </x:c>
    </x:row>
    <x:row r="2" ht="59" customHeight="1">
      <x:c r="A2" s="10" t="str">
        <x:v>Pizzaria delivery</x:v>
      </x:c>
      <x:c r="B2" s="10" t="str">
        <x:v>Pedidos, dúvidas de sabores, adicionais e entrega</x:v>
      </x:c>
      <x:c r="C2" s="10" t="str">
        <x:v>Delivery explícito; botão WhatsApp; cardápio online; 6–7 dias de operação</x:v>
      </x:c>
      <x:c r="D2" s="10" t="str">
        <x:v>Pedidos iniciados no WA/dia; conversão; capacidade de caixa</x:v>
      </x:c>
      <x:c r="E2" s="10" t="str">
        <x:v>Conversão de pedidos + recompra</x:v>
      </x:c>
      <x:c r="F2" s="10" t="str">
        <x:v>Pedidos concentrados 100% em app com automação satisfatória</x:v>
      </x:c>
      <x:c r="G2" s="10" t="str">
        <x:v>pizzaria delivery "whatsapp" "Maringá"</x:v>
      </x:c>
    </x:row>
    <x:row r="3" ht="59" customHeight="1">
      <x:c r="A3" s="10" t="str">
        <x:v>Dogão / prensados / lanches</x:v>
      </x:c>
      <x:c r="B3" s="10" t="str">
        <x:v>Pedidos rápidos noturnos, combos, personalização</x:v>
      </x:c>
      <x:c r="C3" s="10" t="str">
        <x:v>Delivery noturno; pedidos por WhatsApp; combos; retirada</x:v>
      </x:c>
      <x:c r="D3" s="10" t="str">
        <x:v>Chats nos horários de pico e ticket/margem</x:v>
      </x:c>
      <x:c r="E3" s="10" t="str">
        <x:v>Atendimento em pico + cardápio + recompra</x:v>
      </x:c>
      <x:c r="F3" s="10" t="str">
        <x:v>Vendas exclusivamente balcão; raras conversas</x:v>
      </x:c>
      <x:c r="G3" s="10" t="str">
        <x:v>lanches prensados delivery whatsapp Maringá</x:v>
      </x:c>
    </x:row>
    <x:row r="4" ht="59" customHeight="1">
      <x:c r="A4" s="10" t="str">
        <x:v>Hamburgueria delivery</x:v>
      </x:c>
      <x:c r="B4" s="10" t="str">
        <x:v>Pedidos com variações, adicionais e recompra</x:v>
      </x:c>
      <x:c r="C4" s="10" t="str">
        <x:v>Cardápio WhatsApp; promoções; delivery/retirada</x:v>
      </x:c>
      <x:c r="D4" s="10" t="str">
        <x:v>Pedidos diretos vs app; tempo da equipe</x:v>
      </x:c>
      <x:c r="E4" s="10" t="str">
        <x:v>Pedidos + recuperação de carrinho</x:v>
      </x:c>
      <x:c r="F4" s="10" t="str">
        <x:v>App resolve todo o pedido e WhatsApp é residual</x:v>
      </x:c>
      <x:c r="G4" s="10" t="str">
        <x:v>hamburgueria delivery pedidos whatsapp Maringá</x:v>
      </x:c>
    </x:row>
    <x:row r="5" ht="59" customHeight="1">
      <x:c r="A5" s="10" t="str">
        <x:v>Marmitaria / comida diária</x:v>
      </x:c>
      <x:c r="B5" s="10" t="str">
        <x:v>Pedidos recorrentes e assinaturas, empresas</x:v>
      </x:c>
      <x:c r="C5" s="10" t="str">
        <x:v>Cardápio da semana; entregas; pedidos por WhatsApp</x:v>
      </x:c>
      <x:c r="D5" s="10" t="str">
        <x:v>Clientes recorrentes; encomendas/dia</x:v>
      </x:c>
      <x:c r="E5" s="10" t="str">
        <x:v>Rotina de pedidos + recompra</x:v>
      </x:c>
      <x:c r="F5" s="10" t="str">
        <x:v>Pouquíssimos pedidos e nenhum controle da base</x:v>
      </x:c>
      <x:c r="G5" s="10" t="str">
        <x:v>marmitaria marmitex whatsapp entrega Maringá</x:v>
      </x:c>
    </x:row>
    <x:row r="6" ht="59" customHeight="1">
      <x:c r="A6" s="10" t="str">
        <x:v>Sushi / culinária delivery</x:v>
      </x:c>
      <x:c r="B6" s="10" t="str">
        <x:v>Pedidos com adicionais, promoções, recompra</x:v>
      </x:c>
      <x:c r="C6" s="10" t="str">
        <x:v>Delivery; cardápio digital; WhatsApp e iFood</x:v>
      </x:c>
      <x:c r="D6" s="10" t="str">
        <x:v>Qual % WA? fluxo de pedido ou link direto?</x:v>
      </x:c>
      <x:c r="E6" s="10" t="str">
        <x:v>Recompra + qualificação</x:v>
      </x:c>
      <x:c r="F6" s="10" t="str">
        <x:v>Volume WhatsApp insuficiente</x:v>
      </x:c>
      <x:c r="G6" s="10" t="str">
        <x:v>sushi delivery whatsapp Maringá</x:v>
      </x:c>
    </x:row>
    <x:row r="7" ht="59" customHeight="1">
      <x:c r="A7" s="10" t="str">
        <x:v>Clínica odontológica multi-profissional</x:v>
      </x:c>
      <x:c r="B7" s="10" t="str">
        <x:v>Agendar, confirmar, pós, retorno, orçamento</x:v>
      </x:c>
      <x:c r="C7" s="10" t="str">
        <x:v>3+ profissionais; múltiplas salas; agendamento via WhatsApp</x:v>
      </x:c>
      <x:c r="D7" s="10" t="str">
        <x:v>Consultas/mês; faltas; verba e sistemas</x:v>
      </x:c>
      <x:c r="E7" s="10" t="str">
        <x:v>Jornada do paciente + confirmação + retorno</x:v>
      </x:c>
      <x:c r="F7" s="10" t="str">
        <x:v>Uma cadeira, agenda baixa, sistema fechado</x:v>
      </x:c>
      <x:c r="G7" s="10" t="str">
        <x:v>clínica odontológica dentistas agendamento whatsapp Maringá</x:v>
      </x:c>
    </x:row>
    <x:row r="8" ht="59" customHeight="1">
      <x:c r="A8" s="10" t="str">
        <x:v>Clínica estética / dermatologia</x:v>
      </x:c>
      <x:c r="B8" s="10" t="str">
        <x:v>Avaliação, pacotes e revisitas</x:v>
      </x:c>
      <x:c r="C8" s="10" t="str">
        <x:v>Múltiplas profissionais; agenda on-line; campanhas</x:v>
      </x:c>
      <x:c r="D8" s="10" t="str">
        <x:v>Agenda, leads, taxa de comparecimento e ticket</x:v>
      </x:c>
      <x:c r="E8" s="10" t="str">
        <x:v>Pré-atendimento + recuperação de orçamentos</x:v>
      </x:c>
      <x:c r="F8" s="10" t="str">
        <x:v>Baixa demanda; procedimentos 100% por encaminhamento</x:v>
      </x:c>
      <x:c r="G8" s="10" t="str">
        <x:v>clinica estética procedimentos agendamento WhatsApp Londrina</x:v>
      </x:c>
    </x:row>
    <x:row r="9" ht="59" customHeight="1">
      <x:c r="A9" s="10" t="str">
        <x:v>Fisioterapia / reabilitação / pilates</x:v>
      </x:c>
      <x:c r="B9" s="10" t="str">
        <x:v>Sessões recorrentes, reposições, faltas</x:v>
      </x:c>
      <x:c r="C9" s="10" t="str">
        <x:v>Turmas/sessões múltiplas; agendamento por WhatsApp</x:v>
      </x:c>
      <x:c r="D9" s="10" t="str">
        <x:v>Sessões/mês; regras de faltas e reposição</x:v>
      </x:c>
      <x:c r="E9" s="10" t="str">
        <x:v>Confirmação + renovação de pacotes</x:v>
      </x:c>
      <x:c r="F9" s="10" t="str">
        <x:v>Profissional solo com agenda pequena</x:v>
      </x:c>
      <x:c r="G9" s="10" t="str">
        <x:v>pilates fisioterapia varias salas whatsapp Maringá</x:v>
      </x:c>
    </x:row>
    <x:row r="10" ht="59" customHeight="1">
      <x:c r="A10" s="10" t="str">
        <x:v>Clínica veterinária / hospital pet</x:v>
      </x:c>
      <x:c r="B10" s="10" t="str">
        <x:v>Agendamento, vacinas, pós, retornos</x:v>
      </x:c>
      <x:c r="C10" s="10" t="str">
        <x:v>Múltiplos veterinários; 24h; consultas e exames</x:v>
      </x:c>
      <x:c r="D10" s="10" t="str">
        <x:v>Consultas/mês; autorização de contatos; sistemas</x:v>
      </x:c>
      <x:c r="E10" s="10" t="str">
        <x:v>Agenda + lembretes + retornos</x:v>
      </x:c>
      <x:c r="F10" s="10" t="str">
        <x:v>Canal crítico inadequado para automação sem humano</x:v>
      </x:c>
      <x:c r="G10" s="10" t="str">
        <x:v>hospital veterinario consulta agendamento whatsapp Maringá</x:v>
      </x:c>
    </x:row>
    <x:row r="11" ht="59" customHeight="1">
      <x:c r="A11" s="10" t="str">
        <x:v>Imobiliária com anúncios</x:v>
      </x:c>
      <x:c r="B11" s="10" t="str">
        <x:v>Leads de imóveis, agendamento, follow-up</x:v>
      </x:c>
      <x:c r="C11" s="10" t="str">
        <x:v>Imóveis anunciados; múltiplos corretores; CTA WhatsApp</x:v>
      </x:c>
      <x:c r="D11" s="10" t="str">
        <x:v>Leads/mês; velocidade; perdas; CRM</x:v>
      </x:c>
      <x:c r="E11" s="10" t="str">
        <x:v>Qualificação + distribuição + recuperação</x:v>
      </x:c>
      <x:c r="F11" s="10" t="str">
        <x:v>Poucas entradas e funil puramente indicação</x:v>
      </x:c>
      <x:c r="G11" s="10" t="str">
        <x:v>imobiliaria corretores apartamentos anuncio whatsapp Londrina</x:v>
      </x:c>
    </x:row>
    <x:row r="12" ht="59" customHeight="1">
      <x:c r="A12" s="10" t="str">
        <x:v>Loja de sofás / planejados</x:v>
      </x:c>
      <x:c r="B12" s="10" t="str">
        <x:v>Orçamento, simulação, agendamento, follow-up</x:v>
      </x:c>
      <x:c r="C12" s="10" t="str">
        <x:v>Catálogos; móveis sob medida; vendedores; WhatsApp</x:v>
      </x:c>
      <x:c r="D12" s="10" t="str">
        <x:v>Orçamentos/mês, ticket, conversão, margem</x:v>
      </x:c>
      <x:c r="E12" s="10" t="str">
        <x:v>Recuperação de orçamento + agendamento</x:v>
      </x:c>
      <x:c r="F12" s="10" t="str">
        <x:v>Vendas quase todas imediatas no salão</x:v>
      </x:c>
      <x:c r="G12" s="10" t="str">
        <x:v>sofas planejados moveis loja whatsapp orçamento Paraná</x:v>
      </x:c>
    </x:row>
    <x:row r="13" ht="59" customHeight="1">
      <x:c r="A13" s="10" t="str">
        <x:v>Revenda de veículos</x:v>
      </x:c>
      <x:c r="B13" s="10" t="str">
        <x:v>Anúncio, avaliação de troca, financiamento, visita</x:v>
      </x:c>
      <x:c r="C13" s="10" t="str">
        <x:v>Muitos veículos publicados; vendedores; WhatsApp em anúncios</x:v>
      </x:c>
      <x:c r="D13" s="10" t="str">
        <x:v>Leads/mês; CRM; visitas; conversões</x:v>
      </x:c>
      <x:c r="E13" s="10" t="str">
        <x:v>Qualificação + recuperação de leads</x:v>
      </x:c>
      <x:c r="F13" s="10" t="str">
        <x:v>Baixo estoque; pouco lead; sistema central fechado</x:v>
      </x:c>
      <x:c r="G13" s="10" t="str">
        <x:v>revenda seminovos estoque whatsapp proposta Maringá</x:v>
      </x:c>
    </x:row>
    <x:row r="14" ht="59" customHeight="1">
      <x:c r="A14" s="10" t="str">
        <x:v>Distribuidor / atacado B2B</x:v>
      </x:c>
      <x:c r="B14" s="10" t="str">
        <x:v>Recompra, pedido, cotação, representantes</x:v>
      </x:c>
      <x:c r="C14" s="10" t="str">
        <x:v>Catálogo; atacado; televendas; área de cobertura</x:v>
      </x:c>
      <x:c r="D14" s="10" t="str">
        <x:v>Pedidos/mês; número vendedores; ERP</x:v>
      </x:c>
      <x:c r="E14" s="10" t="str">
        <x:v>Pedido recorrente + pré-vendas B2B</x:v>
      </x:c>
      <x:c r="F14" s="10" t="str">
        <x:v>Sem carteira recorrente ou integrações acessíveis</x:v>
      </x:c>
      <x:c r="G14" s="10" t="str">
        <x:v>distribuidora atacadista representantes whatsapp pedidos Paraná</x:v>
      </x:c>
    </x:row>
    <x:row r="15" ht="59" customHeight="1">
      <x:c r="A15" s="10" t="str">
        <x:v>Restaurante de salão / experiência</x:v>
      </x:c>
      <x:c r="B15" s="10" t="str">
        <x:v>Reservas, grupos, eventos, comemorações</x:v>
      </x:c>
      <x:c r="C15" s="10" t="str">
        <x:v>Reserva WhatsApp; formulário evento; turismo; local eventos</x:v>
      </x:c>
      <x:c r="D15" s="10" t="str">
        <x:v>Solicitações de reservas/eventos, ticket e perda</x:v>
      </x:c>
      <x:c r="E15" s="10" t="str">
        <x:v>Reservas + eventos + pós-visita</x:v>
      </x:c>
      <x:c r="F15" s="10" t="str">
        <x:v>Reservas raras e consumo quase todo espontâneo</x:v>
      </x:c>
      <x:c r="G15" s="10" t="str">
        <x:v>restaurante reservar aniversário grupos Maringá</x:v>
      </x:c>
    </x:row>
  </x:sheetData>
  <x:pageMargins left="0.7" right="0.7" top="0.75" bottom="0.75" header="0.3" footer="0.3"/>
</x:worksheet>
</file>